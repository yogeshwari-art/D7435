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AF\DBPA\AF\D7435\"/>
    </mc:Choice>
  </mc:AlternateContent>
  <xr:revisionPtr revIDLastSave="0" documentId="13_ncr:1_{FC77BDDE-B06A-4120-85C3-2B1B52213059}" xr6:coauthVersionLast="47" xr6:coauthVersionMax="47" xr10:uidLastSave="{00000000-0000-0000-0000-000000000000}"/>
  <bookViews>
    <workbookView xWindow="-110" yWindow="-110" windowWidth="19420" windowHeight="10300" xr2:uid="{28B08F79-971E-41C3-878E-A5598F90BAD7}"/>
  </bookViews>
  <sheets>
    <sheet name="Overall" sheetId="13" r:id="rId1"/>
    <sheet name="Overall Lab" sheetId="11" r:id="rId2"/>
    <sheet name="MCQ" sheetId="12" r:id="rId3"/>
    <sheet name="Lab-9" sheetId="1" r:id="rId4"/>
    <sheet name="Lab-8" sheetId="2" r:id="rId5"/>
    <sheet name="Lab-7" sheetId="3" r:id="rId6"/>
    <sheet name="Lab-6" sheetId="10" r:id="rId7"/>
    <sheet name="Lab-5" sheetId="4" r:id="rId8"/>
    <sheet name="Lab-4" sheetId="5" r:id="rId9"/>
    <sheet name="Lab-3" sheetId="6" r:id="rId10"/>
    <sheet name="Lab-2" sheetId="7" r:id="rId11"/>
    <sheet name="Lab-1" sheetId="9" r:id="rId12"/>
  </sheets>
  <definedNames>
    <definedName name="_xlnm._FilterDatabase" localSheetId="11" hidden="1">'Lab-1'!$A$1:$K$3</definedName>
    <definedName name="_xlnm._FilterDatabase" localSheetId="1" hidden="1">'Overall Lab'!$A$1:$P$47</definedName>
    <definedName name="Slicer_Overall">#N/A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7" i="11" l="1"/>
  <c r="I47" i="11"/>
  <c r="J47" i="11"/>
  <c r="K47" i="11"/>
  <c r="L47" i="11"/>
  <c r="G47" i="11"/>
  <c r="F47"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2"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2" i="11"/>
  <c r="F3" i="11"/>
  <c r="P3" i="11" s="1"/>
  <c r="F4" i="11"/>
  <c r="P4" i="11" s="1"/>
  <c r="F5" i="11"/>
  <c r="P5" i="11" s="1"/>
  <c r="F6" i="11"/>
  <c r="P6" i="11" s="1"/>
  <c r="F7" i="11"/>
  <c r="P7" i="11" s="1"/>
  <c r="F8" i="11"/>
  <c r="P8" i="11" s="1"/>
  <c r="F9" i="11"/>
  <c r="P9" i="11" s="1"/>
  <c r="F10" i="11"/>
  <c r="P10" i="11" s="1"/>
  <c r="F11" i="11"/>
  <c r="P11" i="11" s="1"/>
  <c r="F12" i="11"/>
  <c r="P12" i="11" s="1"/>
  <c r="F13" i="11"/>
  <c r="P13" i="11" s="1"/>
  <c r="F14" i="11"/>
  <c r="P14" i="11" s="1"/>
  <c r="F15" i="11"/>
  <c r="P15" i="11" s="1"/>
  <c r="F16" i="11"/>
  <c r="P16" i="11" s="1"/>
  <c r="F17" i="11"/>
  <c r="P17" i="11" s="1"/>
  <c r="F18" i="11"/>
  <c r="P18" i="11" s="1"/>
  <c r="F19" i="11"/>
  <c r="P19" i="11" s="1"/>
  <c r="F20" i="11"/>
  <c r="P20" i="11" s="1"/>
  <c r="F21" i="11"/>
  <c r="P21" i="11" s="1"/>
  <c r="F22" i="11"/>
  <c r="P22" i="11" s="1"/>
  <c r="F23" i="11"/>
  <c r="P23" i="11" s="1"/>
  <c r="F24" i="11"/>
  <c r="P24" i="11" s="1"/>
  <c r="F25" i="11"/>
  <c r="P25" i="11" s="1"/>
  <c r="F26" i="11"/>
  <c r="P26" i="11" s="1"/>
  <c r="F27" i="11"/>
  <c r="P27" i="11" s="1"/>
  <c r="F28" i="11"/>
  <c r="P28" i="11" s="1"/>
  <c r="F29" i="11"/>
  <c r="P29" i="11" s="1"/>
  <c r="F30" i="11"/>
  <c r="P30" i="11" s="1"/>
  <c r="F31" i="11"/>
  <c r="P31" i="11" s="1"/>
  <c r="F32" i="11"/>
  <c r="P32" i="11" s="1"/>
  <c r="F33" i="11"/>
  <c r="P33" i="11" s="1"/>
  <c r="F34" i="11"/>
  <c r="P34" i="11" s="1"/>
  <c r="F35" i="11"/>
  <c r="P35" i="11" s="1"/>
  <c r="F36" i="11"/>
  <c r="P36" i="11" s="1"/>
  <c r="F37" i="11"/>
  <c r="P37" i="11" s="1"/>
  <c r="F38" i="11"/>
  <c r="P38" i="11" s="1"/>
  <c r="F39" i="11"/>
  <c r="P39" i="11" s="1"/>
  <c r="F40" i="11"/>
  <c r="P40" i="11" s="1"/>
  <c r="F41" i="11"/>
  <c r="P41" i="11" s="1"/>
  <c r="F42" i="11"/>
  <c r="P42" i="11" s="1"/>
  <c r="F43" i="11"/>
  <c r="P43" i="11" s="1"/>
  <c r="F44" i="11"/>
  <c r="P44" i="11" s="1"/>
  <c r="F45" i="11"/>
  <c r="P45" i="11" s="1"/>
  <c r="F46" i="11"/>
  <c r="P46" i="11" s="1"/>
  <c r="F2" i="11"/>
  <c r="P2" i="11" s="1"/>
  <c r="P47" i="11" l="1"/>
  <c r="O47" i="11"/>
</calcChain>
</file>

<file path=xl/sharedStrings.xml><?xml version="1.0" encoding="utf-8"?>
<sst xmlns="http://schemas.openxmlformats.org/spreadsheetml/2006/main" count="2658" uniqueCount="807">
  <si>
    <t>User ID</t>
  </si>
  <si>
    <t>Center Code</t>
  </si>
  <si>
    <t>Batch Code</t>
  </si>
  <si>
    <t>First Name/Surname</t>
  </si>
  <si>
    <t>Email</t>
  </si>
  <si>
    <t>Status</t>
  </si>
  <si>
    <t>Total Marks</t>
  </si>
  <si>
    <t>Marks</t>
  </si>
  <si>
    <t>Last modified (submission)</t>
  </si>
  <si>
    <t>File submission</t>
  </si>
  <si>
    <t>Online text</t>
  </si>
  <si>
    <t>af05313343</t>
  </si>
  <si>
    <t>TNDBS</t>
  </si>
  <si>
    <t>ANP-D7435</t>
  </si>
  <si>
    <t>Vikram G</t>
  </si>
  <si>
    <t>vikramprofessional11@gmail.com</t>
  </si>
  <si>
    <t>Graded</t>
  </si>
  <si>
    <t>Tuesday, 25 August 2026, 5:01 PM</t>
  </si>
  <si>
    <t>photo_2026-08-25_16-59-46.jpg</t>
  </si>
  <si>
    <t>af05308512</t>
  </si>
  <si>
    <t>Sandra Sebastian</t>
  </si>
  <si>
    <t>sandrasebastian000@gmail.com</t>
  </si>
  <si>
    <t>Tuesday, 25 August 2026, 5:23 PM</t>
  </si>
  <si>
    <t>task9.pdf</t>
  </si>
  <si>
    <t>af05308380</t>
  </si>
  <si>
    <t>Swathi S</t>
  </si>
  <si>
    <t>swathi.anitha127@gmail.com</t>
  </si>
  <si>
    <t>Tuesday, 25 August 2026, 5:28 PM</t>
  </si>
  <si>
    <t>DAX_Date_Time_Task_Index_Report.pdf</t>
  </si>
  <si>
    <t>Student Name:</t>
  </si>
  <si>
    <t>af05308489</t>
  </si>
  <si>
    <t>Sandhiya M</t>
  </si>
  <si>
    <t>msandhiya124@gmail.com</t>
  </si>
  <si>
    <t>Lab 9.pdf</t>
  </si>
  <si>
    <t>af05319991</t>
  </si>
  <si>
    <t>Mohamed Irsadh A</t>
  </si>
  <si>
    <t>mohamedirsadh.digi@gmail.com</t>
  </si>
  <si>
    <t>Tuesday, 25 August 2026, 5:48 PM</t>
  </si>
  <si>
    <t>Dax Date Functions.png</t>
  </si>
  <si>
    <t>af05308992</t>
  </si>
  <si>
    <t>Santhosh Raj N</t>
  </si>
  <si>
    <t>santhoshjn11@gmail.com</t>
  </si>
  <si>
    <t>Tuesday, 25 August 2026, 9:25 PM</t>
  </si>
  <si>
    <t>Screenshot 2026-08-25 212101.png</t>
  </si>
  <si>
    <t>af05309824</t>
  </si>
  <si>
    <t>Hariharan S</t>
  </si>
  <si>
    <t>hariharanst0203@gmail.com</t>
  </si>
  <si>
    <t>Tuesday, 25 August 2026, 10:22 PM</t>
  </si>
  <si>
    <t>Lab-9 Date Functions.pdf</t>
  </si>
  <si>
    <t>af05311479</t>
  </si>
  <si>
    <t>Pavithra S</t>
  </si>
  <si>
    <t>pavithrasekar1692003@gmail.com</t>
  </si>
  <si>
    <t>Tuesday, 25 August 2026, 10:28 PM</t>
  </si>
  <si>
    <t>LMS DAX_removed.pdf</t>
  </si>
  <si>
    <t>af05309275</t>
  </si>
  <si>
    <t>Annett George</t>
  </si>
  <si>
    <t>georgeannette24@gmail.com</t>
  </si>
  <si>
    <t>Wednesday, 26 August 2026, 10:24 AM</t>
  </si>
  <si>
    <t>Screenshot 2026-08-26 100746.png</t>
  </si>
  <si>
    <t>af05308375</t>
  </si>
  <si>
    <t>Joe william A</t>
  </si>
  <si>
    <t>joewilliam147@gmail.com</t>
  </si>
  <si>
    <t>Wednesday, 26 August 2026, 10:35 AM</t>
  </si>
  <si>
    <t>TASK_9.pdf</t>
  </si>
  <si>
    <t>af05308156</t>
  </si>
  <si>
    <t>Gowtham S</t>
  </si>
  <si>
    <t>gowthams2k20@gmail.com</t>
  </si>
  <si>
    <t>Wednesday, 26 August 2026, 10:42 AM</t>
  </si>
  <si>
    <t>af05308357</t>
  </si>
  <si>
    <t>Syed Sarferaz Sajid A</t>
  </si>
  <si>
    <t>sarferazsajid77@gmail.com</t>
  </si>
  <si>
    <t>Wednesday, 26 August 2026, 11:24 AM</t>
  </si>
  <si>
    <t>af05308381</t>
  </si>
  <si>
    <t>Aarthi R</t>
  </si>
  <si>
    <t>aarthirajaguru63@gmail.com</t>
  </si>
  <si>
    <t>Wednesday, 26 August 2026, 11:32 AM</t>
  </si>
  <si>
    <t>AARTHI_R_POWERBI(DAX)_3.pdf</t>
  </si>
  <si>
    <t>af05309754</t>
  </si>
  <si>
    <t>Harish B</t>
  </si>
  <si>
    <t>harishbalaji147@gmail.com</t>
  </si>
  <si>
    <t>Wednesday, 26 August 2026, 11:58 AM</t>
  </si>
  <si>
    <t>Harish-Lab-9.pdf</t>
  </si>
  <si>
    <t>DAX Creating the new table and</t>
  </si>
  <si>
    <t>af05308373</t>
  </si>
  <si>
    <t>Sivaranjani T</t>
  </si>
  <si>
    <t>Sivaranjanithillai2010@gmail.com</t>
  </si>
  <si>
    <t>Wednesday, 26 August 2026, 12:13 PM</t>
  </si>
  <si>
    <t>POWER QUERY 3.pdf</t>
  </si>
  <si>
    <t>af05308382</t>
  </si>
  <si>
    <t>Harini M</t>
  </si>
  <si>
    <t>mharini0701@gmail.com</t>
  </si>
  <si>
    <t>Wednesday, 26 August 2026, 1:56 PM</t>
  </si>
  <si>
    <t>Harini_Lab_Task09.pdf</t>
  </si>
  <si>
    <t>af05309665</t>
  </si>
  <si>
    <t>Jagadeeswary T</t>
  </si>
  <si>
    <t>jagadeeswary2006@gmail.com</t>
  </si>
  <si>
    <t>Wednesday, 26 August 2026, 1:57 PM</t>
  </si>
  <si>
    <t>Lab9.pdf</t>
  </si>
  <si>
    <t>af05309827</t>
  </si>
  <si>
    <t>Thamarai Selvan N</t>
  </si>
  <si>
    <t>thamaraiselvan358@gmail.com</t>
  </si>
  <si>
    <t>Wednesday, 26 August 2026, 1:58 PM</t>
  </si>
  <si>
    <t>LAB-9.pdf</t>
  </si>
  <si>
    <t>af05308359</t>
  </si>
  <si>
    <t>Sasidharan A</t>
  </si>
  <si>
    <t>sasidh9198@gmail.com</t>
  </si>
  <si>
    <t>Wednesday, 26 August 2026, 2:18 PM</t>
  </si>
  <si>
    <t>Lab_9 Dax.pdf</t>
  </si>
  <si>
    <t>af05313450</t>
  </si>
  <si>
    <t>Mohamed Shahir Hussain G</t>
  </si>
  <si>
    <t>shahir.157igms@gmail.com</t>
  </si>
  <si>
    <t>Wednesday, 26 August 2026, 2:48 PM</t>
  </si>
  <si>
    <t>TASK_9.docx</t>
  </si>
  <si>
    <t>af05308442</t>
  </si>
  <si>
    <t>Mahalakshmi AK</t>
  </si>
  <si>
    <t>ak.mahaarul@gmail.com</t>
  </si>
  <si>
    <t>Wednesday, 26 August 2026, 2:59 PM</t>
  </si>
  <si>
    <t>MAHALAKSHMI A K_LAB9.pdf</t>
  </si>
  <si>
    <t>af05308473</t>
  </si>
  <si>
    <t>Nikil Raja R</t>
  </si>
  <si>
    <t>nikilraja31@gmail.com</t>
  </si>
  <si>
    <t>Wednesday, 26 August 2026, 3:02 PM</t>
  </si>
  <si>
    <t>NIKIL RAJA R LAB-9.pdf</t>
  </si>
  <si>
    <t>af05308353</t>
  </si>
  <si>
    <t>Varshini A S</t>
  </si>
  <si>
    <t>varshinivela2309@gmail.com</t>
  </si>
  <si>
    <t>power bi task2.pdf</t>
  </si>
  <si>
    <t>af05308383</t>
  </si>
  <si>
    <t>Yuvaraj M</t>
  </si>
  <si>
    <t>yuvayuvaraj331@gmail.com</t>
  </si>
  <si>
    <t>Wednesday, 26 August 2026, 11:55 PM</t>
  </si>
  <si>
    <t>DAX.pdf</t>
  </si>
  <si>
    <t>af05308766</t>
  </si>
  <si>
    <t>Nithish G</t>
  </si>
  <si>
    <t>gtnithish2003@gmail.com</t>
  </si>
  <si>
    <t>Thursday, 27 August 2026, 12:48 PM</t>
  </si>
  <si>
    <t>Lab9task.pdf</t>
  </si>
  <si>
    <t>I have Successfully Completed T</t>
  </si>
  <si>
    <t>af05309846</t>
  </si>
  <si>
    <t>Vansh Vijeynath B</t>
  </si>
  <si>
    <t>vanshvijeynath27@gmail.com</t>
  </si>
  <si>
    <t>Thursday, 27 August 2026, 3:53 PM</t>
  </si>
  <si>
    <t>Vansh Vijeynath LAB 9.pdf</t>
  </si>
  <si>
    <t>af05310365</t>
  </si>
  <si>
    <t>Kishori J</t>
  </si>
  <si>
    <t>kishori200510@gmail.com</t>
  </si>
  <si>
    <t>Thursday, 27 August 2026, 4:30 PM</t>
  </si>
  <si>
    <t>af05313301</t>
  </si>
  <si>
    <t>Saravana Prabu V</t>
  </si>
  <si>
    <t>saravanaprabuv5@gmail.com</t>
  </si>
  <si>
    <t>Friday, 28 August 2026, 10:29 AM</t>
  </si>
  <si>
    <t>saravana dax.pdf</t>
  </si>
  <si>
    <t>af05308793</t>
  </si>
  <si>
    <t>Surya Narayanan Rameshbabu</t>
  </si>
  <si>
    <t>workpp2025may@gmail.com</t>
  </si>
  <si>
    <t>Friday, 28 August 2026, 11:33 PM</t>
  </si>
  <si>
    <t>Surya Narayanan R LAB 9.pbix</t>
  </si>
  <si>
    <t>Thursday, 20 August 2026, 4:49 PM</t>
  </si>
  <si>
    <t>Group by region.pdf</t>
  </si>
  <si>
    <t>af05308376</t>
  </si>
  <si>
    <t>Satheesh Kumar G</t>
  </si>
  <si>
    <t>satheeshkumar14796@gmail.com</t>
  </si>
  <si>
    <t>Thursday, 20 August 2026, 4:52 PM</t>
  </si>
  <si>
    <t>Satheesh_Kumar_G-Lab-8.pdf</t>
  </si>
  <si>
    <t>Power BI - Power Query - Group</t>
  </si>
  <si>
    <t>af05308119</t>
  </si>
  <si>
    <t>Keerthikraj J</t>
  </si>
  <si>
    <t>jpkeerthik30@gmail.com</t>
  </si>
  <si>
    <t>Thursday, 20 August 2026, 4:54 PM</t>
  </si>
  <si>
    <t>Advance Groupby.pdf</t>
  </si>
  <si>
    <t>The task groups</t>
  </si>
  <si>
    <t>Thursday, 20 August 2026, 4:57 PM</t>
  </si>
  <si>
    <t>TASK_8.pdf</t>
  </si>
  <si>
    <t>Thursday, 20 August 2026, 4:58 PM</t>
  </si>
  <si>
    <t>task8.pdf</t>
  </si>
  <si>
    <t>LAB7.pdf</t>
  </si>
  <si>
    <t>Thursday, 20 August 2026, 5:00 PM</t>
  </si>
  <si>
    <t>task_8.pdf</t>
  </si>
  <si>
    <t>varshini lab task 8.pdf</t>
  </si>
  <si>
    <t>AARTHI_R_POWERQUERY_2.pdf</t>
  </si>
  <si>
    <t>Thursday, 20 August 2026, 5:02 PM</t>
  </si>
  <si>
    <t>sivaranjani T Lab 8.pdf</t>
  </si>
  <si>
    <t>Thursday, 20 August 2026, 5:03 PM</t>
  </si>
  <si>
    <t>Vansh Vijeynath B LAB 8.pdf</t>
  </si>
  <si>
    <t>Thursday, 20 August 2026, 5:04 PM</t>
  </si>
  <si>
    <t>Screenshot 2026-08-20 170017.png</t>
  </si>
  <si>
    <t>Thursday, 20 August 2026, 5:11 PM</t>
  </si>
  <si>
    <t>Advanced Group_By.png</t>
  </si>
  <si>
    <t>Thursday, 20 August 2026, 5:19 PM</t>
  </si>
  <si>
    <t>lab 8 answer.pdf</t>
  </si>
  <si>
    <t>Thursday, 20 August 2026, 5:29 PM</t>
  </si>
  <si>
    <t>Lab 8.pdf</t>
  </si>
  <si>
    <t>af05310678</t>
  </si>
  <si>
    <t>Afrin M</t>
  </si>
  <si>
    <t>afu170798@gmail.com</t>
  </si>
  <si>
    <t>Thursday, 20 August 2026, 5:33 PM</t>
  </si>
  <si>
    <t>Thursday, 20 August 2026, 5:54 PM</t>
  </si>
  <si>
    <t>Lab8.pdf</t>
  </si>
  <si>
    <t>Thursday, 20 August 2026, 6:22 PM</t>
  </si>
  <si>
    <t>GROUB_BY- LAB-8.pdf</t>
  </si>
  <si>
    <t>Thursday, 20 August 2026, 9:01 PM</t>
  </si>
  <si>
    <t>LMS 8 GROUPBY_removed (1).pdf</t>
  </si>
  <si>
    <t>Thursday, 20 August 2026, 9:04 PM</t>
  </si>
  <si>
    <t>Swathi_S_PowerQuery_Project.pdf</t>
  </si>
  <si>
    <t>Thursday, 20 August 2026, 10:46 PM</t>
  </si>
  <si>
    <t>Task_8.docx</t>
  </si>
  <si>
    <t>Thursday, 20 August 2026, 11:03 PM</t>
  </si>
  <si>
    <t>Group by.pdf</t>
  </si>
  <si>
    <t>Thursday, 20 August 2026, 11:23 PM</t>
  </si>
  <si>
    <t>Nikil Raja R Lab-8.pdf</t>
  </si>
  <si>
    <t>Thursday, 20 August 2026, 11:25 PM</t>
  </si>
  <si>
    <t>Mahalakshmi A K Lab-8.pdf</t>
  </si>
  <si>
    <t>Friday, 21 August 2026, 10:08 AM</t>
  </si>
  <si>
    <t>GroupBY.pdf</t>
  </si>
  <si>
    <t>I successfully Completed this L</t>
  </si>
  <si>
    <t>Friday, 21 August 2026, 1:05 PM</t>
  </si>
  <si>
    <t>LAB-8.pdf</t>
  </si>
  <si>
    <t>af05310227</t>
  </si>
  <si>
    <t>Sanjai P</t>
  </si>
  <si>
    <t>sanjaip6010@gmail.com</t>
  </si>
  <si>
    <t>Friday, 21 August 2026, 1:53 PM</t>
  </si>
  <si>
    <t>Friday, 21 August 2026, 3:19 PM</t>
  </si>
  <si>
    <t>Task 8.pdf</t>
  </si>
  <si>
    <t>Friday, 21 August 2026, 3:36 PM</t>
  </si>
  <si>
    <t>Harini_Lab_Task08.pdf</t>
  </si>
  <si>
    <t>Sunday, 23 August 2026, 2:58 PM</t>
  </si>
  <si>
    <t>Harish-Lab-8.pdf</t>
  </si>
  <si>
    <t>GROUPBY usage</t>
  </si>
  <si>
    <t>Tuesday, 25 August 2026, 12:02 AM</t>
  </si>
  <si>
    <t>Surya Narayanan R LAB 8.pbix</t>
  </si>
  <si>
    <t>Tuesday, 25 August 2026, 3:00 PM</t>
  </si>
  <si>
    <t>Lab-8 Advanced Group by .pdf</t>
  </si>
  <si>
    <t>af05308374</t>
  </si>
  <si>
    <t>Lakshmikanthan G</t>
  </si>
  <si>
    <t>lakshug999@gmail.com</t>
  </si>
  <si>
    <t>Wednesday, 26 August 2026, 1:39 PM</t>
  </si>
  <si>
    <t>Screenshot 2026-08-26 133732.png</t>
  </si>
  <si>
    <t>af05308431</t>
  </si>
  <si>
    <t>Silvan S</t>
  </si>
  <si>
    <t>silvannathaniel@gmail.com</t>
  </si>
  <si>
    <t>Wednesday, 26 August 2026, 2:46 PM</t>
  </si>
  <si>
    <t>Task-8 Power query (AFO5308431).pdf</t>
  </si>
  <si>
    <t>Tuesday, 18 August 2026, 5:08 PM</t>
  </si>
  <si>
    <t>Sivaranjani T lab7.pdf</t>
  </si>
  <si>
    <t>Tuesday, 18 August 2026, 5:15 PM</t>
  </si>
  <si>
    <t>PowerBI_Merge_Tables_Report.pdf</t>
  </si>
  <si>
    <t>&lt;</t>
  </si>
  <si>
    <t>Tuesday, 18 August 2026, 5:16 PM</t>
  </si>
  <si>
    <t>task7.pdf</t>
  </si>
  <si>
    <t>Tuesday, 18 August 2026, 6:29 PM</t>
  </si>
  <si>
    <t>Screenshot 2026-08-18 182538.png</t>
  </si>
  <si>
    <t>Tuesday, 18 August 2026, 7:09 PM</t>
  </si>
  <si>
    <t>MAHALAKSHMI A K_LAB7.pdf</t>
  </si>
  <si>
    <t>Tuesday, 18 August 2026, 7:13 PM</t>
  </si>
  <si>
    <t>NIKIL RAJA R LAB-7.pdf</t>
  </si>
  <si>
    <t>Tuesday, 18 August 2026, 7:25 PM</t>
  </si>
  <si>
    <t>Surya Narayanan R LAB 7.pbix</t>
  </si>
  <si>
    <t>Tuesday, 18 August 2026, 7:57 PM</t>
  </si>
  <si>
    <t>Lab 7.pdf</t>
  </si>
  <si>
    <t>Tuesday, 18 August 2026, 8:54 PM</t>
  </si>
  <si>
    <t>Lab2.pdf</t>
  </si>
  <si>
    <t>Tuesday, 18 August 2026, 9:28 PM</t>
  </si>
  <si>
    <t>AARTHI_R_EXCEL7.pdf</t>
  </si>
  <si>
    <t>Tuesday, 18 August 2026, 9:44 PM</t>
  </si>
  <si>
    <t>Satheesh_Kumar_G-Lab-7.pdf</t>
  </si>
  <si>
    <t>Merge Tables in Power BI</t>
  </si>
  <si>
    <t>Tuesday, 18 August 2026, 10:00 PM</t>
  </si>
  <si>
    <t>TASK_7.pdf</t>
  </si>
  <si>
    <t>Tuesday, 18 August 2026, 10:02 PM</t>
  </si>
  <si>
    <t>inner join</t>
  </si>
  <si>
    <t>Tuesday, 18 August 2026, 10:10 PM</t>
  </si>
  <si>
    <t>LMS 7th Task.pdf</t>
  </si>
  <si>
    <t>Tuesday, 18 August 2026, 11:38 PM</t>
  </si>
  <si>
    <t>Task-7 (AFO5308431).pdf</t>
  </si>
  <si>
    <t>Tuesday, 18 August 2026, 11:55 PM</t>
  </si>
  <si>
    <t>Wednesday, 19 August 2026, 12:13 AM</t>
  </si>
  <si>
    <t>Harini_Lab_Task07.pdf</t>
  </si>
  <si>
    <t>Wednesday, 19 August 2026, 9:08 AM</t>
  </si>
  <si>
    <t>TASK_7 Syed.docx</t>
  </si>
  <si>
    <t>Wednesday, 19 August 2026, 11:04 AM</t>
  </si>
  <si>
    <t>Wednesday, 19 August 2026, 2:04 PM</t>
  </si>
  <si>
    <t>LAB_7.pdf</t>
  </si>
  <si>
    <t>Wednesday, 19 August 2026, 2:13 PM</t>
  </si>
  <si>
    <t>Merge Table from Powerbi.pdf</t>
  </si>
  <si>
    <t>Wednesday, 19 August 2026, 2:59 PM</t>
  </si>
  <si>
    <t>TASK_7.docx</t>
  </si>
  <si>
    <t>Wednesday, 19 August 2026, 10:21 PM</t>
  </si>
  <si>
    <t>LAB-7 (1).pdf</t>
  </si>
  <si>
    <t>Thursday, 20 August 2026, 12:38 PM</t>
  </si>
  <si>
    <t>Vansh Vijeynath B LAB 7.pdf</t>
  </si>
  <si>
    <t>Thursday, 20 August 2026, 2:55 PM</t>
  </si>
  <si>
    <t>Screenshot 2026-08-20 145314.png</t>
  </si>
  <si>
    <t>Thursday, 20 August 2026, 4:11 PM</t>
  </si>
  <si>
    <t>It contains colu</t>
  </si>
  <si>
    <t>Thursday, 20 August 2026, 8:07 PM</t>
  </si>
  <si>
    <t>Task 7.pdf</t>
  </si>
  <si>
    <t>i successfully completed This L</t>
  </si>
  <si>
    <t>Thursday, 20 August 2026, 9:55 PM</t>
  </si>
  <si>
    <t>Merge in Power query .pdf</t>
  </si>
  <si>
    <t>Friday, 21 August 2026, 2:46 PM</t>
  </si>
  <si>
    <t>Varshini lab task 7.pdf</t>
  </si>
  <si>
    <t>Sunday, 23 August 2026, 11:57 AM</t>
  </si>
  <si>
    <t>Harish-Lab-7.pdf</t>
  </si>
  <si>
    <t>Wednesday, 26 August 2026, 12:59 PM</t>
  </si>
  <si>
    <t>Screenshot 2026-08-26 125254.png</t>
  </si>
  <si>
    <t>Tuesday, 11 August 2026, 4:31 PM</t>
  </si>
  <si>
    <t>task5.pdf</t>
  </si>
  <si>
    <t>Tuesday, 11 August 2026, 4:47 PM</t>
  </si>
  <si>
    <t>Index Match.pdf</t>
  </si>
  <si>
    <t>Task
Description :</t>
  </si>
  <si>
    <t>Tuesday, 11 August 2026, 4:57 PM</t>
  </si>
  <si>
    <t>jaga_lab5.pdf</t>
  </si>
  <si>
    <t>Tuesday, 11 August 2026, 6:11 PM</t>
  </si>
  <si>
    <t>LAB5.pdf</t>
  </si>
  <si>
    <t>Tuesday, 11 August 2026, 6:41 PM</t>
  </si>
  <si>
    <t>LMS 5 index match.pdf</t>
  </si>
  <si>
    <t>Tuesday, 11 August 2026, 7:43 PM</t>
  </si>
  <si>
    <t>TASK_5.pdf</t>
  </si>
  <si>
    <t>Tuesday, 11 August 2026, 8:06 PM</t>
  </si>
  <si>
    <t>Vansh Vijeynath LAB 5.pdf</t>
  </si>
  <si>
    <t>Tuesday, 11 August 2026, 8:16 PM</t>
  </si>
  <si>
    <t>LAB 5.pdf</t>
  </si>
  <si>
    <t>I Have Completed my Lab 5 and S</t>
  </si>
  <si>
    <t>Tuesday, 11 August 2026, 8:19 PM</t>
  </si>
  <si>
    <t>Satheesh_Kumar_G-Lab-5.pdf</t>
  </si>
  <si>
    <t>Index &amp; Match</t>
  </si>
  <si>
    <t>Tuesday, 11 August 2026, 9:31 PM</t>
  </si>
  <si>
    <t>task INDEX1.pdf</t>
  </si>
  <si>
    <t>Tuesday, 11 August 2026, 9:59 PM</t>
  </si>
  <si>
    <t>Varshini lab task 5.pdf</t>
  </si>
  <si>
    <t>Tuesday, 11 August 2026, 10:21 PM</t>
  </si>
  <si>
    <t>TASK 5_INDEX_MATCH_TASK_REPORT.pdf</t>
  </si>
  <si>
    <t>Wednesday, 12 August 2026, 12:39 AM</t>
  </si>
  <si>
    <t>MAHALAKSHMI A K_LAB5.pdf</t>
  </si>
  <si>
    <t>Wednesday, 12 August 2026, 12:51 AM</t>
  </si>
  <si>
    <t>Nikil Raja R Lab- 5.pdf</t>
  </si>
  <si>
    <t>Wednesday, 12 August 2026, 10:21 AM</t>
  </si>
  <si>
    <t>Surya Narayanan R LAB.docx</t>
  </si>
  <si>
    <t>Wednesday, 12 August 2026, 10:38 AM</t>
  </si>
  <si>
    <t>Wednesday, 12 August 2026, 11:42 AM</t>
  </si>
  <si>
    <t>lap 5.pdf</t>
  </si>
  <si>
    <t>Wednesday, 12 August 2026, 12:50 PM</t>
  </si>
  <si>
    <t>LAB-5.pdf</t>
  </si>
  <si>
    <t>Wednesday, 12 August 2026, 2:21 PM</t>
  </si>
  <si>
    <t>lab 5.pdf</t>
  </si>
  <si>
    <t>Wednesday, 12 August 2026, 2:54 PM</t>
  </si>
  <si>
    <t>TASK_5.docx</t>
  </si>
  <si>
    <t>Wednesday, 12 August 2026, 3:04 PM</t>
  </si>
  <si>
    <t>Lab5-task.docx</t>
  </si>
  <si>
    <t>I Successfully Completed my Tas</t>
  </si>
  <si>
    <t>Wednesday, 12 August 2026, 6:22 PM</t>
  </si>
  <si>
    <t>LAB_5.pdf</t>
  </si>
  <si>
    <t>Wednesday, 12 August 2026, 10:58 PM</t>
  </si>
  <si>
    <t>Lab6.pdf</t>
  </si>
  <si>
    <t>Wednesday, 12 August 2026, 10:59 PM</t>
  </si>
  <si>
    <t>AARTHI_R_EXCEL5.pdf</t>
  </si>
  <si>
    <t>Thursday, 13 August 2026, 8:49 AM</t>
  </si>
  <si>
    <t>Thursday, 13 August 2026, 11:28 AM</t>
  </si>
  <si>
    <t>Lab 5.pdf</t>
  </si>
  <si>
    <t>Thursday, 13 August 2026, 12:15 PM</t>
  </si>
  <si>
    <t>Harini_Lab_Task5.pdf</t>
  </si>
  <si>
    <t>Thursday, 13 August 2026, 2:23 PM</t>
  </si>
  <si>
    <t>task-4.pdf</t>
  </si>
  <si>
    <t>Thursday, 13 August 2026, 3:37 PM</t>
  </si>
  <si>
    <t>SARAVANA lab5.pdf</t>
  </si>
  <si>
    <t>Thursday, 13 August 2026, 9:01 PM</t>
  </si>
  <si>
    <t>Lab-5 Index + match.pdf</t>
  </si>
  <si>
    <t>Friday, 14 August 2026, 10:26 AM</t>
  </si>
  <si>
    <t>task (1).docx</t>
  </si>
  <si>
    <t>af05308566</t>
  </si>
  <si>
    <t>Andrews Samuel A</t>
  </si>
  <si>
    <t>samuelandrews951@gmail.com</t>
  </si>
  <si>
    <t>Tuesday, 18 August 2026, 3:56 PM</t>
  </si>
  <si>
    <t>Tuesday, 18 August 2026, 4:03 PM</t>
  </si>
  <si>
    <t>Harish-Lab-5.pdf</t>
  </si>
  <si>
    <t>INDEX MATCH task (LAB-5)</t>
  </si>
  <si>
    <t>Tuesday, 11 August 2026, 4:41 PM</t>
  </si>
  <si>
    <t>V LOOKUP.pdf</t>
  </si>
  <si>
    <t>🧾 Task Desc</t>
  </si>
  <si>
    <t>Tuesday, 11 August 2026, 5:13 PM</t>
  </si>
  <si>
    <t>task4.pdf</t>
  </si>
  <si>
    <t>Tuesday, 11 August 2026, 5:24 PM</t>
  </si>
  <si>
    <t>LAB.pdf</t>
  </si>
  <si>
    <t>Tuesday, 11 August 2026, 6:13 PM</t>
  </si>
  <si>
    <t>jaga_lab4 (1).pdf</t>
  </si>
  <si>
    <t>Tuesday, 11 August 2026, 6:49 PM</t>
  </si>
  <si>
    <t>LMS 4 Vlookup.pdf</t>
  </si>
  <si>
    <t>TASK_4.pdf</t>
  </si>
  <si>
    <t>Tuesday, 11 August 2026, 7:48 PM</t>
  </si>
  <si>
    <t>Vansh Vijeynath B LAB 4.pdf</t>
  </si>
  <si>
    <t>Tuesday, 11 August 2026, 7:55 PM</t>
  </si>
  <si>
    <t>LAB 4.pdf</t>
  </si>
  <si>
    <t>I Have Completed my Lab 4 and S</t>
  </si>
  <si>
    <t>Tuesday, 11 August 2026, 8:17 PM</t>
  </si>
  <si>
    <t>Satheesh_Kumar_G-Lab-4.pdf</t>
  </si>
  <si>
    <t>Vlookup &amp; Conditional Forma</t>
  </si>
  <si>
    <t>Tuesday, 11 August 2026, 9:10 PM</t>
  </si>
  <si>
    <t>Insurance_Data.pdf</t>
  </si>
  <si>
    <t>Submitted for evaluating</t>
  </si>
  <si>
    <t>Tuesday, 11 August 2026, 9:37 PM</t>
  </si>
  <si>
    <t>Varshini Lab task 4.pdf</t>
  </si>
  <si>
    <t>Tuesday, 11 August 2026, 10:15 PM</t>
  </si>
  <si>
    <t>TASK4_LOOKUP_REPORT.pdf</t>
  </si>
  <si>
    <t>Tuesday, 11 August 2026, 11:35 PM</t>
  </si>
  <si>
    <t>Nikil Raja R Lab-4.pdf</t>
  </si>
  <si>
    <t>Tuesday, 11 August 2026, 11:36 PM</t>
  </si>
  <si>
    <t>MAHALAKSHMI A K_LAB4.pdf</t>
  </si>
  <si>
    <t>Tuesday, 11 August 2026, 11:54 PM</t>
  </si>
  <si>
    <t>task-4 Silvan.pdf</t>
  </si>
  <si>
    <t>Wednesday, 12 August 2026, 9:56 AM</t>
  </si>
  <si>
    <t>Wednesday, 12 August 2026, 10:37 AM</t>
  </si>
  <si>
    <t>Wednesday, 12 August 2026, 12:42 PM</t>
  </si>
  <si>
    <t>lap 4.pdf</t>
  </si>
  <si>
    <t>Wednesday, 12 August 2026, 12:48 PM</t>
  </si>
  <si>
    <t>LAB_4.pdf</t>
  </si>
  <si>
    <t>Wednesday, 12 August 2026, 12:49 PM</t>
  </si>
  <si>
    <t>lab 4.pdf</t>
  </si>
  <si>
    <t>Wednesday, 12 August 2026, 2:53 PM</t>
  </si>
  <si>
    <t>TASK_4.docx</t>
  </si>
  <si>
    <t>Wednesday, 12 August 2026, 3:03 PM</t>
  </si>
  <si>
    <t>lab4-task.docx</t>
  </si>
  <si>
    <t>I Successfully Completed this T</t>
  </si>
  <si>
    <t>Wednesday, 12 August 2026, 5:01 PM</t>
  </si>
  <si>
    <t>Harish-lab-4.pdf</t>
  </si>
  <si>
    <t>LOOK UP and IF ERROR</t>
  </si>
  <si>
    <t>Wednesday, 12 August 2026, 10:57 PM</t>
  </si>
  <si>
    <t>AARTHI_R_EXCEL4.pdf</t>
  </si>
  <si>
    <t>Thursday, 13 August 2026, 8:43 AM</t>
  </si>
  <si>
    <t>Thursday, 13 August 2026, 11:15 AM</t>
  </si>
  <si>
    <t>Task 4.pdf</t>
  </si>
  <si>
    <t>Thursday, 13 August 2026, 3:11 PM</t>
  </si>
  <si>
    <t>Harini_Lab_Task4.pdf</t>
  </si>
  <si>
    <t>Thursday, 13 August 2026, 3:36 PM</t>
  </si>
  <si>
    <t>SARAVANA lab4.pdf</t>
  </si>
  <si>
    <t>Thursday, 13 August 2026, 11:06 PM</t>
  </si>
  <si>
    <t>Lab 4- Lookup Function .pdf</t>
  </si>
  <si>
    <t>Friday, 14 August 2026, 9:56 AM</t>
  </si>
  <si>
    <t>task-5.docx</t>
  </si>
  <si>
    <t>Tuesday, 18 August 2026, 3:55 PM</t>
  </si>
  <si>
    <t>task 4.pdf</t>
  </si>
  <si>
    <t>Thursday, 6 August 2026, 5:19 PM</t>
  </si>
  <si>
    <t>Thursday, 6 August 2026, 5:42 PM</t>
  </si>
  <si>
    <t>KISHORI_LAB3.pdf</t>
  </si>
  <si>
    <t>Thursday, 6 August 2026, 6:37 PM</t>
  </si>
  <si>
    <t>Excel 3 LMS.pdf</t>
  </si>
  <si>
    <t>Thursday, 6 August 2026, 6:55 PM</t>
  </si>
  <si>
    <t>task3.pdf</t>
  </si>
  <si>
    <t>Thursday, 6 August 2026, 8:28 PM</t>
  </si>
  <si>
    <t>Lab 3.pdf</t>
  </si>
  <si>
    <t>I have completed my Lab3 and submitted for evaluating</t>
  </si>
  <si>
    <t>Thursday, 6 August 2026, 8:43 PM</t>
  </si>
  <si>
    <t>excel lab-3.pdf</t>
  </si>
  <si>
    <t>Thursday, 6 August 2026, 8:47 PM</t>
  </si>
  <si>
    <t>Lab-3.docx</t>
  </si>
  <si>
    <t>Thursday, 6 August 2026, 10:36 PM</t>
  </si>
  <si>
    <t>sivaranjani T Lab3.pdf</t>
  </si>
  <si>
    <t>Thursday, 6 August 2026, 10:45 PM</t>
  </si>
  <si>
    <t>AARTHI_R_EXCEL3.pdf</t>
  </si>
  <si>
    <t>Thursday, 6 August 2026, 11:08 PM</t>
  </si>
  <si>
    <t>Professional_Conditional_Formatting_Task_3_v2.pdf</t>
  </si>
  <si>
    <t>Friday, 7 August 2026, 9:48 AM</t>
  </si>
  <si>
    <t>Lab 3 Conditional formatting   Reference .pdf</t>
  </si>
  <si>
    <t>Friday, 7 August 2026, 11:37 AM</t>
  </si>
  <si>
    <t>Satheesh_Kumar_G-Lab-3.pdf</t>
  </si>
  <si>
    <t>Conditional Formatting</t>
  </si>
  <si>
    <t>Friday, 7 August 2026, 11:54 AM</t>
  </si>
  <si>
    <t>excel3.pdf</t>
  </si>
  <si>
    <t>Friday, 7 August 2026, 12:26 PM</t>
  </si>
  <si>
    <t>Task 3 CONDITIONAL FORMATING.pdf</t>
  </si>
  <si>
    <t>Friday, 7 August 2026, 12:36 PM</t>
  </si>
  <si>
    <t>Varshini lab Task -3.pdf</t>
  </si>
  <si>
    <t>Friday, 7 August 2026, 12:52 PM</t>
  </si>
  <si>
    <t>Lab-3.pdf</t>
  </si>
  <si>
    <t>Friday, 7 August 2026, 2:59 PM</t>
  </si>
  <si>
    <t>Harish-lab-3.pdf</t>
  </si>
  <si>
    <t>Friday, 7 August 2026, 3:02 PM</t>
  </si>
  <si>
    <t>TASK_3.pdf</t>
  </si>
  <si>
    <t>Friday, 7 August 2026, 3:11 PM</t>
  </si>
  <si>
    <t>Harini_Lab_Task3.pdf</t>
  </si>
  <si>
    <t>Friday, 7 August 2026, 3:12 PM</t>
  </si>
  <si>
    <t>MAHALAKSHMI A K_LAB3.pdf</t>
  </si>
  <si>
    <t>Friday, 7 August 2026, 3:13 PM</t>
  </si>
  <si>
    <t>CONDITIONAL FORMATING.pdf</t>
  </si>
  <si>
    <t>Friday, 7 August 2026, 3:56 PM</t>
  </si>
  <si>
    <t>Coniditional Formatting. Lab3.pdf</t>
  </si>
  <si>
    <t>Friday, 7 August 2026, 4:05 PM</t>
  </si>
  <si>
    <t>Lab Title 4.pdf</t>
  </si>
  <si>
    <t>Vansh Vijeynath B LAB 3.pdf</t>
  </si>
  <si>
    <t>Friday, 7 August 2026, 4:42 PM</t>
  </si>
  <si>
    <t>jaga_lab3.pdf</t>
  </si>
  <si>
    <t>Friday, 7 August 2026, 4:51 PM</t>
  </si>
  <si>
    <t>Nikil Raja Lab-3.pdf</t>
  </si>
  <si>
    <t>Friday, 7 August 2026, 7:11 PM</t>
  </si>
  <si>
    <t>Conditional Formating.pdf</t>
  </si>
  <si>
    <t>Friday, 7 August 2026, 11:51 PM</t>
  </si>
  <si>
    <t>I Finished LAB3 task assignment .pdf</t>
  </si>
  <si>
    <t>I Finished my LAB3- task assign</t>
  </si>
  <si>
    <t>Sunday, 9 August 2026, 3:31 PM</t>
  </si>
  <si>
    <t>Sunday, 9 August 2026, 7:05 PM</t>
  </si>
  <si>
    <t>Andrew (1).pdf</t>
  </si>
  <si>
    <t>Monday, 10 August 2026, 2:52 PM</t>
  </si>
  <si>
    <t>lap 3.pdf</t>
  </si>
  <si>
    <t>Tuesday, 11 August 2026, 8:00 PM</t>
  </si>
  <si>
    <t>task3.docx</t>
  </si>
  <si>
    <t>Tuesday, 4 August 2026, 4:56 PM</t>
  </si>
  <si>
    <t>Lab 2.docx</t>
  </si>
  <si>
    <t>Tuesday, 4 August 2026, 5:14 PM</t>
  </si>
  <si>
    <t>Keerthik.Lab 2.pdf</t>
  </si>
  <si>
    <t>Summary Report</t>
  </si>
  <si>
    <t>Tuesday, 4 August 2026, 5:20 PM</t>
  </si>
  <si>
    <t>task2.pdf</t>
  </si>
  <si>
    <t>Tuesday, 4 August 2026, 5:33 PM</t>
  </si>
  <si>
    <t>lab2_kishori.docx</t>
  </si>
  <si>
    <t>Tuesday, 4 August 2026, 8:00 PM</t>
  </si>
  <si>
    <t>Satheesh_Kumar_G-Lab-2.pdf</t>
  </si>
  <si>
    <t>Aggregations like Sum, Sumif, S</t>
  </si>
  <si>
    <t>Tuesday, 4 August 2026, 8:16 PM</t>
  </si>
  <si>
    <t>Logical_Functions_SUM_COUNT_Practice.pdf</t>
  </si>
  <si>
    <t>Tuesday, 4 August 2026, 9:50 PM</t>
  </si>
  <si>
    <t>Sivaranjani T Lab2.docx</t>
  </si>
  <si>
    <t>Tuesday, 4 August 2026, 10:49 PM</t>
  </si>
  <si>
    <t>Nikil Raja Lab-2.pdf</t>
  </si>
  <si>
    <t>Tuesday, 4 August 2026, 10:50 PM</t>
  </si>
  <si>
    <t>MAHALAKSHMI A K_LAB2.pdf</t>
  </si>
  <si>
    <t>Tuesday, 4 August 2026, 10:52 PM</t>
  </si>
  <si>
    <t>AARTHI_R_EXCEL2.pdf</t>
  </si>
  <si>
    <t>Wednesday, 5 August 2026, 9:42 AM</t>
  </si>
  <si>
    <t>TASK2.pdf</t>
  </si>
  <si>
    <t>Wednesday, 5 August 2026, 9:46 AM</t>
  </si>
  <si>
    <t>excel2.pdf</t>
  </si>
  <si>
    <t>Wednesday, 5 August 2026, 10:19 AM</t>
  </si>
  <si>
    <t>Logical Function using Sum and Count (Task 2).pdf</t>
  </si>
  <si>
    <t>Wednesday, 5 August 2026, 10:59 AM</t>
  </si>
  <si>
    <t>task2pdf.pdf</t>
  </si>
  <si>
    <t>Wednesday, 5 August 2026, 11:27 AM</t>
  </si>
  <si>
    <t>saravana.pdf</t>
  </si>
  <si>
    <t>Wednesday, 5 August 2026, 12:12 PM</t>
  </si>
  <si>
    <t>Vansh Vijeynath B LAB 2.pdf</t>
  </si>
  <si>
    <t>Mam all three condition formula</t>
  </si>
  <si>
    <t>Wednesday, 5 August 2026, 1:03 PM</t>
  </si>
  <si>
    <t>LMS 2.pdf</t>
  </si>
  <si>
    <t>Wednesday, 5 August 2026, 1:29 PM</t>
  </si>
  <si>
    <t>lab 2 sumif.pdf</t>
  </si>
  <si>
    <t>Wednesday, 5 August 2026, 1:46 PM</t>
  </si>
  <si>
    <t>jaga_lab2.pdf</t>
  </si>
  <si>
    <t>Wednesday, 5 August 2026, 2:06 PM</t>
  </si>
  <si>
    <t>LAB-2.pdf</t>
  </si>
  <si>
    <t>Wednesday, 5 August 2026, 2:53 PM</t>
  </si>
  <si>
    <t>Lab 2 - Logical functions using  Sum  Count.pdf</t>
  </si>
  <si>
    <t>Wednesday, 5 August 2026, 4:16 PM</t>
  </si>
  <si>
    <t>Harish-lab-2.pdf</t>
  </si>
  <si>
    <t>In this task, I worked with a s</t>
  </si>
  <si>
    <t>Wednesday, 5 August 2026, 5:13 PM</t>
  </si>
  <si>
    <t>Logical Function using Sum.pdf</t>
  </si>
  <si>
    <t>Wednesday, 5 August 2026, 5:34 PM</t>
  </si>
  <si>
    <t>LAB 2.pdf</t>
  </si>
  <si>
    <t>I have completed my lab 2</t>
  </si>
  <si>
    <t>Wednesday, 5 August 2026, 6:29 PM</t>
  </si>
  <si>
    <t>Harini_Lab_Task2.pdf</t>
  </si>
  <si>
    <t>Wednesday, 5 August 2026, 11:24 PM</t>
  </si>
  <si>
    <t>Lab-2 Silvan.pdf</t>
  </si>
  <si>
    <t>Wednesday, 5 August 2026, 11:56 PM</t>
  </si>
  <si>
    <t>Logical function(sum  count).pdf</t>
  </si>
  <si>
    <t>Thursday, 6 August 2026, 9:52 AM</t>
  </si>
  <si>
    <t>Varshini Lab task -2.pdf</t>
  </si>
  <si>
    <t>Thursday, 6 August 2026, 10:35 AM</t>
  </si>
  <si>
    <t>LAB2-task.pdf</t>
  </si>
  <si>
    <t>I have Completed my Task Successfully, this Task i gain more improveme</t>
  </si>
  <si>
    <t>Thursday, 6 August 2026, 2:09 PM</t>
  </si>
  <si>
    <t>Andrews Samuel A.pdf</t>
  </si>
  <si>
    <t>Thursday, 6 August 2026, 3:55 PM</t>
  </si>
  <si>
    <t>LAP 2.pdf</t>
  </si>
  <si>
    <t>Tuesday, 11 August 2026, 7:58 PM</t>
  </si>
  <si>
    <t>shahir2.docx</t>
  </si>
  <si>
    <t>Friday, 31 July 2026, 3:38 PM</t>
  </si>
  <si>
    <t>Number Formula Text Function .pdf</t>
  </si>
  <si>
    <t>Completed All the Questions</t>
  </si>
  <si>
    <t>Wednesday, 5 August 2026, 12:21 PM</t>
  </si>
  <si>
    <t>Friday, 31 July 2026, 3:46 PM</t>
  </si>
  <si>
    <t>Surya Narayanan R LAB.pdf</t>
  </si>
  <si>
    <t>Hi mam,</t>
  </si>
  <si>
    <t>Friday, 31 July 2026, 4:04 PM</t>
  </si>
  <si>
    <t>Kishori.xlsx</t>
  </si>
  <si>
    <t>Friday, 31 July 2026, 5:09 PM</t>
  </si>
  <si>
    <t>task1.pdf</t>
  </si>
  <si>
    <t>Friday, 31 July 2026, 7:40 PM</t>
  </si>
  <si>
    <t>TASK_1.pdf</t>
  </si>
  <si>
    <t>Friday, 31 July 2026, 7:52 PM</t>
  </si>
  <si>
    <t>TASK.pdf</t>
  </si>
  <si>
    <t>Friday, 31 July 2026, 8:22 PM</t>
  </si>
  <si>
    <t>Satheesh_Kumar_G-Lab-1.pdf</t>
  </si>
  <si>
    <t>Friday, 31 July 2026, 10:44 PM</t>
  </si>
  <si>
    <t>SANTHOSH RAJ.pdf</t>
  </si>
  <si>
    <t>Saturday, 1 August 2026, 12:40 AM</t>
  </si>
  <si>
    <t>Varshini Task -1.pdf</t>
  </si>
  <si>
    <t>Saturday, 1 August 2026, 8:18 AM</t>
  </si>
  <si>
    <t>LAB-1.pdf</t>
  </si>
  <si>
    <t>Saturday, 1 August 2026, 10:49 AM</t>
  </si>
  <si>
    <t>TASK1.pdf</t>
  </si>
  <si>
    <t>Saturday, 1 August 2026, 12:43 PM</t>
  </si>
  <si>
    <t>Vansh Vijeynath B LAB 1.pdf</t>
  </si>
  <si>
    <t>Is this format ok mam?</t>
  </si>
  <si>
    <t>Saturday, 1 August 2026, 4:54 PM</t>
  </si>
  <si>
    <t>MAHALAKSHMI A K_LAB1.pdf</t>
  </si>
  <si>
    <t>Saturday, 1 August 2026, 9:57 PM</t>
  </si>
  <si>
    <t>AARTHI_R_LAB1.pdf</t>
  </si>
  <si>
    <t>Saturday, 1 August 2026, 10:01 PM</t>
  </si>
  <si>
    <t>Sasi Task1.pdf</t>
  </si>
  <si>
    <t>Saturday, 1 August 2026, 10:11 PM</t>
  </si>
  <si>
    <t>sivaranjani lab1.pdf</t>
  </si>
  <si>
    <t>Sunday, 2 August 2026, 9:01 AM</t>
  </si>
  <si>
    <t>Keerthik.Lab1.pdf</t>
  </si>
  <si>
    <t>Lab 1: Excel Functions</t>
  </si>
  <si>
    <t>Sunday, 2 August 2026, 11:48 AM</t>
  </si>
  <si>
    <t>Harish-Lab-1.pdf</t>
  </si>
  <si>
    <t>This lab used Excel text functi</t>
  </si>
  <si>
    <t>Sunday, 2 August 2026, 4:55 PM</t>
  </si>
  <si>
    <t>Lab 1.pdf</t>
  </si>
  <si>
    <t>Lab1 completed and attached for review.</t>
  </si>
  <si>
    <t>Sunday, 2 August 2026, 6:23 PM</t>
  </si>
  <si>
    <t>Nikil Raja Lab-1.pdf</t>
  </si>
  <si>
    <t>Sunday, 2 August 2026, 6:52 PM</t>
  </si>
  <si>
    <t>docx.docx</t>
  </si>
  <si>
    <t>Sunday, 2 August 2026, 7:32 PM</t>
  </si>
  <si>
    <t>updated_task1.pdf</t>
  </si>
  <si>
    <t>af05308407</t>
  </si>
  <si>
    <t>Eswari M</t>
  </si>
  <si>
    <t>eswarim12102005@gmail.com</t>
  </si>
  <si>
    <t>Sunday, 2 August 2026, 9:28 PM</t>
  </si>
  <si>
    <t>Eswari lab1.pdf</t>
  </si>
  <si>
    <t>Sunday, 2 August 2026, 9:54 PM</t>
  </si>
  <si>
    <t>Number and Text Functions.pdf</t>
  </si>
  <si>
    <t>Sunday, 2 August 2026, 10:26 PM</t>
  </si>
  <si>
    <t>LAB1-task.pdf</t>
  </si>
  <si>
    <t>I Learn and build my Excel Knowlode through this assesment. So it is m</t>
  </si>
  <si>
    <t>af05309187</t>
  </si>
  <si>
    <t>Mohamed Sathik Z</t>
  </si>
  <si>
    <t>sathikzahir97@gmail.com</t>
  </si>
  <si>
    <t>Monday, 3 August 2026, 11:07 AM</t>
  </si>
  <si>
    <t>Task 1_Mohamed Sathik Z.pdf</t>
  </si>
  <si>
    <t>Monday, 3 August 2026, 12:11 PM</t>
  </si>
  <si>
    <t>DocScanner 03-Aug-2026 11-46 AM (1).pdf</t>
  </si>
  <si>
    <t>Monday, 3 August 2026, 12:51 PM</t>
  </si>
  <si>
    <t>Andrews Samuel A (4).pdf</t>
  </si>
  <si>
    <t>Monday, 3 August 2026, 7:58 PM</t>
  </si>
  <si>
    <t>Lab-1_Silvan.pdf</t>
  </si>
  <si>
    <t>Ma'am, due to the unavailability of a laptop, my submission got delaye</t>
  </si>
  <si>
    <t>Tuesday, 4 August 2026, 12:28 PM</t>
  </si>
  <si>
    <t>Lab file.pdf</t>
  </si>
  <si>
    <t>Wednesday, 5 August 2026, 11:24 AM</t>
  </si>
  <si>
    <t>saravana2.pdf</t>
  </si>
  <si>
    <t>Wednesday, 5 August 2026, 1:45 PM</t>
  </si>
  <si>
    <t>jaga_lab1.pdf</t>
  </si>
  <si>
    <t>Wednesday, 5 August 2026, 6:19 PM</t>
  </si>
  <si>
    <t>Harini_Lab_Task1.pdf</t>
  </si>
  <si>
    <t>Thursday, 6 August 2026, 3:46 PM</t>
  </si>
  <si>
    <t>LAB 1.pdf</t>
  </si>
  <si>
    <t>shahir.docx</t>
  </si>
  <si>
    <t>Monday, 17 August 2026, 5:16 PM</t>
  </si>
  <si>
    <t>task6.pdf</t>
  </si>
  <si>
    <t>Monday, 17 August 2026, 6:20 PM</t>
  </si>
  <si>
    <t>power bi 1.pdf</t>
  </si>
  <si>
    <t>Monday, 17 August 2026, 7:49 PM</t>
  </si>
  <si>
    <t>Screenshot 2026-08-17 194624.pdf</t>
  </si>
  <si>
    <t>Monday, 17 August 2026, 8:18 PM</t>
  </si>
  <si>
    <t>6Lab.pdf</t>
  </si>
  <si>
    <t>Monday, 17 August 2026, 9:13 PM</t>
  </si>
  <si>
    <t>PowerBI_Power_Query_Editor_Task.pdf</t>
  </si>
  <si>
    <t>Monday, 17 August 2026, 9:45 PM</t>
  </si>
  <si>
    <t>sivaranjani T Lab 6.pdf</t>
  </si>
  <si>
    <t>Monday, 17 August 2026, 9:51 PM</t>
  </si>
  <si>
    <t>AARTHI_R_EXCEL6.pdf</t>
  </si>
  <si>
    <t>Tuesday, 18 August 2026, 9:37 AM</t>
  </si>
  <si>
    <t>TASK_6.pdf</t>
  </si>
  <si>
    <t>Tuesday, 18 August 2026, 9:53 AM</t>
  </si>
  <si>
    <t>Task 6 Power Query.pdf</t>
  </si>
  <si>
    <t>Tuesday, 18 August 2026, 11:41 AM</t>
  </si>
  <si>
    <t>POWER QUERY.pdf</t>
  </si>
  <si>
    <t>Tuesday, 18 August 2026, 11:52 AM</t>
  </si>
  <si>
    <t>POWER_BI.pdf</t>
  </si>
  <si>
    <t>Tuesday, 18 August 2026, 12:17 PM</t>
  </si>
  <si>
    <t>Harini_Lab_Task06.pdf</t>
  </si>
  <si>
    <t>Tuesday, 18 August 2026, 1:18 PM</t>
  </si>
  <si>
    <t>LAB-6.pdf</t>
  </si>
  <si>
    <t>Tuesday, 18 August 2026, 1:51 PM</t>
  </si>
  <si>
    <t>POWER QUERY_Lab.pdf</t>
  </si>
  <si>
    <t>Tuesday, 18 August 2026, 2:24 PM</t>
  </si>
  <si>
    <t>Varsh lab task -6.pdf</t>
  </si>
  <si>
    <t>Tuesday, 18 August 2026, 3:01 PM</t>
  </si>
  <si>
    <t>LMS 6th Task.pdf</t>
  </si>
  <si>
    <t>Tuesday, 18 August 2026, 3:11 PM</t>
  </si>
  <si>
    <t>Power Query Editor .pdf</t>
  </si>
  <si>
    <t>Tuesday, 18 August 2026, 3:27 PM</t>
  </si>
  <si>
    <t>Powerbi.Lab.pdf</t>
  </si>
  <si>
    <t>Tuesday, 18 August 2026, 3:37 PM</t>
  </si>
  <si>
    <t>TASK6.docx</t>
  </si>
  <si>
    <t>Tuesday, 18 August 2026, 4:26 PM</t>
  </si>
  <si>
    <t>MAHALAKSHMI A K_lAB6.pdf</t>
  </si>
  <si>
    <t>Tuesday, 18 August 2026, 4:57 PM</t>
  </si>
  <si>
    <t>Screenshot 2026-08-18 165152.png</t>
  </si>
  <si>
    <t>Tuesday, 18 August 2026, 6:58 PM</t>
  </si>
  <si>
    <t>Lab 6.pdf</t>
  </si>
  <si>
    <t>Surya Narayanan R LAB 6.pbix</t>
  </si>
  <si>
    <t>Tuesday, 18 August 2026, 7:11 PM</t>
  </si>
  <si>
    <t>NIKIL RAJA LAB-6.pdf</t>
  </si>
  <si>
    <t>Tuesday, 18 August 2026, 9:29 PM</t>
  </si>
  <si>
    <t>Satheesh_Kumar_G-Lab-6.pdf</t>
  </si>
  <si>
    <t>Power Query in Power BI</t>
  </si>
  <si>
    <t>Task-6 (AFO5308431).pdf</t>
  </si>
  <si>
    <t>Tuesday, 18 August 2026, 11:53 PM</t>
  </si>
  <si>
    <t>task 6.pdf</t>
  </si>
  <si>
    <t>Wednesday, 19 August 2026, 1:56 PM</t>
  </si>
  <si>
    <t>powerbi power query editor.pdf</t>
  </si>
  <si>
    <t>Thursday, 20 August 2026, 12:25 PM</t>
  </si>
  <si>
    <t>Vansh Vijeynath B LAB 6.pdf</t>
  </si>
  <si>
    <t>Thursday, 20 August 2026, 1:01 PM</t>
  </si>
  <si>
    <t>lab 6.pdf</t>
  </si>
  <si>
    <t>Thursday, 20 August 2026, 7:48 PM</t>
  </si>
  <si>
    <t>PowerQuery.pdf</t>
  </si>
  <si>
    <t>i Have Successfully Completed t</t>
  </si>
  <si>
    <t>Sunday, 23 August 2026, 10:59 AM</t>
  </si>
  <si>
    <t>Harish-Lab-6.pdf</t>
  </si>
  <si>
    <t>Student Code</t>
  </si>
  <si>
    <t>Student Name</t>
  </si>
  <si>
    <t>Email ID</t>
  </si>
  <si>
    <t>Mobile No.</t>
  </si>
  <si>
    <t>AF05308119</t>
  </si>
  <si>
    <t>AF05308156</t>
  </si>
  <si>
    <t>AF05308353</t>
  </si>
  <si>
    <t>AF05308357</t>
  </si>
  <si>
    <t>AF05308359</t>
  </si>
  <si>
    <t>AF05308374</t>
  </si>
  <si>
    <t>AF05308376</t>
  </si>
  <si>
    <t>AF05308380</t>
  </si>
  <si>
    <t>AF05308407</t>
  </si>
  <si>
    <t>AF05308431</t>
  </si>
  <si>
    <t>AF05308442</t>
  </si>
  <si>
    <t>AF05308473</t>
  </si>
  <si>
    <t>AF05308489</t>
  </si>
  <si>
    <t>AF05308566</t>
  </si>
  <si>
    <t>AF05308666</t>
  </si>
  <si>
    <t>Abinesh E</t>
  </si>
  <si>
    <t>abineshe11@gmail.com</t>
  </si>
  <si>
    <t>AF05308766</t>
  </si>
  <si>
    <t>AF05308793</t>
  </si>
  <si>
    <t>AF05308992</t>
  </si>
  <si>
    <t>AF05309187</t>
  </si>
  <si>
    <t>AF05309275</t>
  </si>
  <si>
    <t>AF05309665</t>
  </si>
  <si>
    <t>AF05308512</t>
  </si>
  <si>
    <t>AF05308382</t>
  </si>
  <si>
    <t>AF05308381</t>
  </si>
  <si>
    <t>AF05308373</t>
  </si>
  <si>
    <t>Sivaranjani S</t>
  </si>
  <si>
    <t>AF05308383</t>
  </si>
  <si>
    <t>AF05308375</t>
  </si>
  <si>
    <t>AF05309755</t>
  </si>
  <si>
    <t>Shashwath V</t>
  </si>
  <si>
    <t>vshashwath04@gmail.com</t>
  </si>
  <si>
    <t>AF05309846</t>
  </si>
  <si>
    <t>AF05309827</t>
  </si>
  <si>
    <t>AF05310365</t>
  </si>
  <si>
    <t>AF05310678</t>
  </si>
  <si>
    <t>AF05309754</t>
  </si>
  <si>
    <t>AF05309824</t>
  </si>
  <si>
    <t>AF05311479</t>
  </si>
  <si>
    <t>AF05310227</t>
  </si>
  <si>
    <t>AF05311940</t>
  </si>
  <si>
    <t>Arun K S</t>
  </si>
  <si>
    <t>arun101arun101@gmail.com</t>
  </si>
  <si>
    <t>AF05312849</t>
  </si>
  <si>
    <t>S Sailesh</t>
  </si>
  <si>
    <t>ss8536@srmist.edu.in</t>
  </si>
  <si>
    <t>AF05312830</t>
  </si>
  <si>
    <t>Somasekar N</t>
  </si>
  <si>
    <t>somasekarsekar52@gmail.com</t>
  </si>
  <si>
    <t>AF05313301</t>
  </si>
  <si>
    <t>AF05313078</t>
  </si>
  <si>
    <t>Priyadharshini Dhamotharan</t>
  </si>
  <si>
    <t>priyadharshinid311@gmail.com</t>
  </si>
  <si>
    <t>AF05313343</t>
  </si>
  <si>
    <t>AF05313450</t>
  </si>
  <si>
    <t>AF05312913</t>
  </si>
  <si>
    <t>Saikumar E N</t>
  </si>
  <si>
    <t>saikumarettare@gmail.com</t>
  </si>
  <si>
    <t>AF05313700</t>
  </si>
  <si>
    <t>Amirthan M</t>
  </si>
  <si>
    <t>smartamirthan@gmail.com</t>
  </si>
  <si>
    <t>Attendance</t>
  </si>
  <si>
    <t>AF05319991</t>
  </si>
  <si>
    <t>LAB1</t>
  </si>
  <si>
    <t>LAB2</t>
  </si>
  <si>
    <t>LAB3</t>
  </si>
  <si>
    <t>LAB4</t>
  </si>
  <si>
    <t>LAB5</t>
  </si>
  <si>
    <t>LAB6</t>
  </si>
  <si>
    <t>LAB7</t>
  </si>
  <si>
    <t>LAB8</t>
  </si>
  <si>
    <t>LAB9</t>
  </si>
  <si>
    <t>Row Labels</t>
  </si>
  <si>
    <t>Grand Total</t>
  </si>
  <si>
    <t>Overall</t>
  </si>
  <si>
    <t>Sum of Overall</t>
  </si>
  <si>
    <t>Lab Not Completed Count</t>
  </si>
  <si>
    <t>Completed Count</t>
  </si>
  <si>
    <t>Sum of Completed Count</t>
  </si>
  <si>
    <t>Completion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</si>
</sst>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name val="Calibri"/>
      <family val="2"/>
    </font>
    <font>
      <sz val="12"/>
      <color theme="1"/>
      <name val="Calibri"/>
      <family val="2"/>
    </font>
    <font>
      <b/>
      <sz val="12"/>
      <color theme="1"/>
      <name val="Calibri"/>
      <family val="2"/>
    </font>
    <font>
      <sz val="10"/>
      <color theme="1"/>
      <name val="Arial"/>
      <family val="2"/>
    </font>
    <font>
      <sz val="12"/>
      <color rgb="FFFF0000"/>
      <name val="Calibri"/>
      <family val="2"/>
    </font>
    <font>
      <sz val="8"/>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0" xfId="0" applyFont="1"/>
    <xf numFmtId="1" fontId="0" fillId="0" borderId="0" xfId="0" applyNumberFormat="1"/>
    <xf numFmtId="0" fontId="0" fillId="0" borderId="0" xfId="0" applyAlignment="1"/>
    <xf numFmtId="0" fontId="0" fillId="0" borderId="0" xfId="0" applyBorder="1" applyAlignment="1"/>
    <xf numFmtId="0" fontId="0" fillId="0" borderId="0" xfId="0" applyBorder="1"/>
    <xf numFmtId="0" fontId="2" fillId="0" borderId="0" xfId="0" applyFont="1"/>
    <xf numFmtId="0" fontId="5" fillId="0" borderId="1" xfId="0" applyFont="1" applyBorder="1" applyAlignment="1"/>
    <xf numFmtId="0" fontId="4" fillId="0" borderId="1" xfId="0" applyFont="1" applyBorder="1" applyAlignment="1"/>
    <xf numFmtId="0" fontId="4" fillId="0" borderId="1" xfId="0" applyFont="1" applyBorder="1" applyAlignment="1">
      <alignment horizontal="right"/>
    </xf>
    <xf numFmtId="0" fontId="6" fillId="2" borderId="1" xfId="0" applyFont="1" applyFill="1" applyBorder="1" applyAlignment="1"/>
    <xf numFmtId="0" fontId="6" fillId="2" borderId="1" xfId="0" applyFont="1" applyFill="1" applyBorder="1" applyAlignment="1">
      <alignment horizontal="right"/>
    </xf>
    <xf numFmtId="0" fontId="7" fillId="0" borderId="1" xfId="0" applyFont="1" applyBorder="1" applyAlignment="1"/>
    <xf numFmtId="0" fontId="7" fillId="0" borderId="1" xfId="0" applyFont="1" applyBorder="1" applyAlignment="1">
      <alignment horizontal="right"/>
    </xf>
    <xf numFmtId="0" fontId="1" fillId="0" borderId="0" xfId="0" applyFont="1"/>
    <xf numFmtId="0" fontId="2" fillId="0" borderId="1" xfId="0" applyFont="1" applyBorder="1"/>
    <xf numFmtId="0" fontId="0" fillId="0" borderId="1" xfId="0" applyBorder="1"/>
    <xf numFmtId="0" fontId="1"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336550</xdr:colOff>
      <xdr:row>1</xdr:row>
      <xdr:rowOff>63500</xdr:rowOff>
    </xdr:from>
    <xdr:to>
      <xdr:col>6</xdr:col>
      <xdr:colOff>438150</xdr:colOff>
      <xdr:row>15</xdr:row>
      <xdr:rowOff>104772</xdr:rowOff>
    </xdr:to>
    <mc:AlternateContent xmlns:mc="http://schemas.openxmlformats.org/markup-compatibility/2006" xmlns:a14="http://schemas.microsoft.com/office/drawing/2010/main">
      <mc:Choice Requires="a14">
        <xdr:graphicFrame macro="">
          <xdr:nvGraphicFramePr>
            <xdr:cNvPr id="3" name="Overall">
              <a:extLst>
                <a:ext uri="{FF2B5EF4-FFF2-40B4-BE49-F238E27FC236}">
                  <a16:creationId xmlns:a16="http://schemas.microsoft.com/office/drawing/2014/main" id="{97997D20-C01B-CCB6-E08B-81C801E9E7C8}"/>
                </a:ext>
              </a:extLst>
            </xdr:cNvPr>
            <xdr:cNvGraphicFramePr/>
          </xdr:nvGraphicFramePr>
          <xdr:xfrm>
            <a:off x="0" y="0"/>
            <a:ext cx="0" cy="0"/>
          </xdr:xfrm>
          <a:graphic>
            <a:graphicData uri="http://schemas.microsoft.com/office/drawing/2010/slicer">
              <sle:slicer xmlns:sle="http://schemas.microsoft.com/office/drawing/2010/slicer" name="Overall"/>
            </a:graphicData>
          </a:graphic>
        </xdr:graphicFrame>
      </mc:Choice>
      <mc:Fallback xmlns="">
        <xdr:sp macro="" textlink="">
          <xdr:nvSpPr>
            <xdr:cNvPr id="0" name=""/>
            <xdr:cNvSpPr>
              <a:spLocks noTextEdit="1"/>
            </xdr:cNvSpPr>
          </xdr:nvSpPr>
          <xdr:spPr>
            <a:xfrm>
              <a:off x="4749800" y="247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267.733900231484" createdVersion="8" refreshedVersion="8" minRefreshableVersion="3" recordCount="46" xr:uid="{61C64BC9-F6A8-480C-A97D-14A07D916AE7}">
  <cacheSource type="worksheet">
    <worksheetSource ref="A1:P47" sheet="Overall Lab"/>
  </cacheSource>
  <cacheFields count="16">
    <cacheField name="Student Code" numFmtId="0">
      <sharedItems/>
    </cacheField>
    <cacheField name="Student Name" numFmtId="0">
      <sharedItems count="46">
        <s v="Keerthikraj J"/>
        <s v="Gowtham S"/>
        <s v="Varshini A S"/>
        <s v="Syed Sarferaz Sajid A"/>
        <s v="Sasidharan A"/>
        <s v="Lakshmikanthan G"/>
        <s v="Satheesh Kumar G"/>
        <s v="Swathi S"/>
        <s v="Eswari M"/>
        <s v="Silvan S"/>
        <s v="Mahalakshmi AK"/>
        <s v="Nikil Raja R"/>
        <s v="Sandhiya M"/>
        <s v="Andrews Samuel A"/>
        <s v="Abinesh E"/>
        <s v="Nithish G"/>
        <s v="Surya Narayanan Rameshbabu"/>
        <s v="Santhosh Raj N"/>
        <s v="Mohamed Sathik Z"/>
        <s v="Annett George"/>
        <s v="Jagadeeswary T"/>
        <s v="Sandra Sebastian"/>
        <s v="Harini M"/>
        <s v="Aarthi R"/>
        <s v="Sivaranjani S"/>
        <s v="Yuvaraj M"/>
        <s v="Joe william A"/>
        <s v="Shashwath V"/>
        <s v="Vansh Vijeynath B"/>
        <s v="Thamarai Selvan N"/>
        <s v="Kishori J"/>
        <s v="Afrin M"/>
        <s v="Harish B"/>
        <s v="Hariharan S"/>
        <s v="Pavithra S"/>
        <s v="Sanjai P"/>
        <s v="Arun K S"/>
        <s v="S Sailesh"/>
        <s v="Somasekar N"/>
        <s v="Saravana Prabu V"/>
        <s v="Priyadharshini Dhamotharan"/>
        <s v="Vikram G"/>
        <s v="Mohamed Shahir Hussain G"/>
        <s v="Saikumar E N"/>
        <s v="Amirthan M"/>
        <s v="Mohamed Irsadh A"/>
      </sharedItems>
    </cacheField>
    <cacheField name="Email ID" numFmtId="0">
      <sharedItems containsBlank="1"/>
    </cacheField>
    <cacheField name="Mobile No." numFmtId="0">
      <sharedItems containsString="0" containsBlank="1" containsNumber="1" containsInteger="1" minValue="6369045864" maxValue="9994712446"/>
    </cacheField>
    <cacheField name="Attendance" numFmtId="0">
      <sharedItems containsSemiMixedTypes="0" containsString="0" containsNumber="1" containsInteger="1" minValue="0" maxValue="99"/>
    </cacheField>
    <cacheField name="LAB1" numFmtId="0">
      <sharedItems containsBlank="1" containsMixedTypes="1" containsNumber="1" containsInteger="1" minValue="100" maxValue="100"/>
    </cacheField>
    <cacheField name="LAB2" numFmtId="0">
      <sharedItems containsBlank="1" containsMixedTypes="1" containsNumber="1" containsInteger="1" minValue="90" maxValue="98"/>
    </cacheField>
    <cacheField name="LAB3" numFmtId="0">
      <sharedItems containsBlank="1" containsMixedTypes="1" containsNumber="1" containsInteger="1" minValue="80" maxValue="98"/>
    </cacheField>
    <cacheField name="LAB4" numFmtId="0">
      <sharedItems containsBlank="1" containsMixedTypes="1" containsNumber="1" containsInteger="1" minValue="0" maxValue="96"/>
    </cacheField>
    <cacheField name="LAB5" numFmtId="0">
      <sharedItems containsBlank="1" containsMixedTypes="1" containsNumber="1" containsInteger="1" minValue="90" maxValue="96"/>
    </cacheField>
    <cacheField name="LAB6" numFmtId="0">
      <sharedItems containsBlank="1" containsMixedTypes="1" containsNumber="1" containsInteger="1" minValue="100" maxValue="100"/>
    </cacheField>
    <cacheField name="LAB7" numFmtId="0">
      <sharedItems containsBlank="1" containsMixedTypes="1" containsNumber="1" containsInteger="1" minValue="80" maxValue="97"/>
    </cacheField>
    <cacheField name="LAB8" numFmtId="0">
      <sharedItems containsMixedTypes="1" containsNumber="1" containsInteger="1" minValue="95" maxValue="96"/>
    </cacheField>
    <cacheField name="LAB9" numFmtId="0">
      <sharedItems containsMixedTypes="1" containsNumber="1" containsInteger="1" minValue="80" maxValue="97"/>
    </cacheField>
    <cacheField name="Completed Count" numFmtId="0">
      <sharedItems containsSemiMixedTypes="0" containsString="0" containsNumber="1" containsInteger="1" minValue="0" maxValue="9"/>
    </cacheField>
    <cacheField name="Overall" numFmtId="0">
      <sharedItems containsSemiMixedTypes="0" containsString="0" containsNumber="1" containsInteger="1" minValue="0" maxValue="9" count="6">
        <n v="1"/>
        <n v="0"/>
        <n v="8"/>
        <n v="4"/>
        <n v="9"/>
        <n v="2"/>
      </sharedItems>
    </cacheField>
  </cacheFields>
  <extLst>
    <ext xmlns:x14="http://schemas.microsoft.com/office/spreadsheetml/2009/9/main" uri="{725AE2AE-9491-48be-B2B4-4EB974FC3084}">
      <x14:pivotCacheDefinition pivotCacheId="2039845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AF05308119"/>
    <x v="0"/>
    <s v="jpkeerthik30@gmail.com"/>
    <n v="9789410647"/>
    <n v="66"/>
    <n v="100"/>
    <n v="97"/>
    <n v="95"/>
    <n v="90"/>
    <n v="95"/>
    <n v="100"/>
    <n v="90"/>
    <n v="95"/>
    <s v="Not Completed"/>
    <n v="8"/>
    <x v="0"/>
  </r>
  <r>
    <s v="AF05308156"/>
    <x v="1"/>
    <s v="gowthams2k20@gmail.com"/>
    <n v="8825487437"/>
    <n v="89"/>
    <n v="100"/>
    <n v="98"/>
    <n v="95"/>
    <n v="95"/>
    <n v="95"/>
    <n v="100"/>
    <n v="95"/>
    <n v="95"/>
    <n v="90"/>
    <n v="9"/>
    <x v="1"/>
  </r>
  <r>
    <s v="AF05308353"/>
    <x v="2"/>
    <s v="varshinivela2309@gmail.com"/>
    <n v="9361354702"/>
    <n v="80"/>
    <n v="100"/>
    <n v="95"/>
    <n v="95"/>
    <n v="0"/>
    <n v="95"/>
    <n v="100"/>
    <n v="96"/>
    <n v="95"/>
    <n v="95"/>
    <n v="9"/>
    <x v="1"/>
  </r>
  <r>
    <s v="AF05308357"/>
    <x v="3"/>
    <s v="sarferazsajid77@gmail.com"/>
    <n v="6380927613"/>
    <n v="94"/>
    <n v="100"/>
    <n v="98"/>
    <n v="96"/>
    <n v="90"/>
    <n v="95"/>
    <n v="100"/>
    <n v="94"/>
    <n v="95"/>
    <n v="90"/>
    <n v="9"/>
    <x v="1"/>
  </r>
  <r>
    <s v="AF05308359"/>
    <x v="4"/>
    <s v="sasidh9198@gmail.com"/>
    <n v="9361419198"/>
    <n v="92"/>
    <n v="100"/>
    <n v="96"/>
    <n v="95"/>
    <n v="95"/>
    <n v="95"/>
    <n v="100"/>
    <n v="95"/>
    <n v="95"/>
    <n v="95"/>
    <n v="9"/>
    <x v="1"/>
  </r>
  <r>
    <s v="AF05308374"/>
    <x v="5"/>
    <s v="lakshug999@gmail.com"/>
    <n v="9360237456"/>
    <n v="75"/>
    <n v="100"/>
    <n v="95"/>
    <n v="90"/>
    <n v="90"/>
    <n v="95"/>
    <n v="100"/>
    <n v="80"/>
    <n v="95"/>
    <s v="Not Completed"/>
    <n v="8"/>
    <x v="0"/>
  </r>
  <r>
    <s v="AF05308376"/>
    <x v="6"/>
    <s v="satheeshkumar14796@gmail.com"/>
    <n v="9751234634"/>
    <n v="85"/>
    <n v="100"/>
    <n v="98"/>
    <n v="98"/>
    <n v="92"/>
    <n v="95"/>
    <n v="100"/>
    <n v="90"/>
    <n v="95"/>
    <s v="Not Completed"/>
    <n v="8"/>
    <x v="0"/>
  </r>
  <r>
    <s v="AF05308380"/>
    <x v="7"/>
    <s v="swathi.anitha127@gmail.com"/>
    <n v="6369082252"/>
    <n v="96"/>
    <n v="100"/>
    <n v="98"/>
    <n v="98"/>
    <n v="96"/>
    <n v="96"/>
    <n v="100"/>
    <n v="96"/>
    <n v="96"/>
    <n v="97"/>
    <n v="9"/>
    <x v="1"/>
  </r>
  <r>
    <s v="AF05308407"/>
    <x v="8"/>
    <s v="eswarim12102005@gmail.com"/>
    <n v="6384203529"/>
    <n v="53"/>
    <n v="100"/>
    <s v="Not Completed"/>
    <s v="Not Completed"/>
    <s v="Not Completed"/>
    <s v="Not Completed"/>
    <s v="Not Completed"/>
    <s v="Not Completed"/>
    <s v="Not Completed"/>
    <s v="Not Completed"/>
    <n v="1"/>
    <x v="2"/>
  </r>
  <r>
    <s v="AF05308431"/>
    <x v="9"/>
    <s v="silvannathaniel@gmail.com"/>
    <n v="7305142195"/>
    <n v="77"/>
    <n v="100"/>
    <n v="96"/>
    <n v="95"/>
    <n v="90"/>
    <n v="95"/>
    <n v="100"/>
    <n v="90"/>
    <n v="96"/>
    <s v="Not Completed"/>
    <n v="8"/>
    <x v="0"/>
  </r>
  <r>
    <s v="AF05308442"/>
    <x v="10"/>
    <s v="ak.mahaarul@gmail.com"/>
    <n v="9080240033"/>
    <n v="82"/>
    <n v="100"/>
    <n v="96"/>
    <n v="90"/>
    <n v="95"/>
    <n v="95"/>
    <n v="100"/>
    <n v="95"/>
    <n v="95"/>
    <n v="95"/>
    <n v="9"/>
    <x v="1"/>
  </r>
  <r>
    <s v="AF05308473"/>
    <x v="11"/>
    <s v="nikilraja31@gmail.com"/>
    <n v="7448911580"/>
    <n v="82"/>
    <n v="100"/>
    <n v="97"/>
    <n v="95"/>
    <n v="96"/>
    <n v="95"/>
    <n v="100"/>
    <n v="95"/>
    <n v="95"/>
    <n v="95"/>
    <n v="9"/>
    <x v="1"/>
  </r>
  <r>
    <s v="AF05308489"/>
    <x v="12"/>
    <s v="msandhiya124@gmail.com"/>
    <n v="9943873755"/>
    <n v="94"/>
    <n v="100"/>
    <n v="96"/>
    <n v="95"/>
    <n v="90"/>
    <n v="95"/>
    <n v="100"/>
    <n v="95"/>
    <n v="95"/>
    <n v="95"/>
    <n v="9"/>
    <x v="1"/>
  </r>
  <r>
    <s v="AF05308566"/>
    <x v="13"/>
    <s v="samuelandrews951@gmail.com"/>
    <n v="9003817378"/>
    <n v="76"/>
    <n v="100"/>
    <n v="95"/>
    <n v="95"/>
    <n v="95"/>
    <n v="95"/>
    <s v="Not Completed"/>
    <s v="Not Completed"/>
    <s v="Not Completed"/>
    <s v="Not Completed"/>
    <n v="5"/>
    <x v="3"/>
  </r>
  <r>
    <s v="AF05308666"/>
    <x v="14"/>
    <s v="abineshe11@gmail.com"/>
    <n v="9791180165"/>
    <n v="0"/>
    <s v="Not Completed"/>
    <s v="Not Completed"/>
    <s v="Not Completed"/>
    <s v="Not Completed"/>
    <s v="Not Completed"/>
    <s v="Not Completed"/>
    <s v="Not Completed"/>
    <s v="Not Completed"/>
    <s v="Not Completed"/>
    <n v="0"/>
    <x v="4"/>
  </r>
  <r>
    <s v="AF05308766"/>
    <x v="15"/>
    <s v="gtnithish2003@gmail.com"/>
    <n v="6374105694"/>
    <n v="77"/>
    <n v="100"/>
    <n v="95"/>
    <n v="95"/>
    <n v="95"/>
    <n v="95"/>
    <n v="100"/>
    <n v="95"/>
    <n v="95"/>
    <n v="95"/>
    <n v="9"/>
    <x v="1"/>
  </r>
  <r>
    <s v="AF05308793"/>
    <x v="16"/>
    <s v="workpp2025may@gmail.com"/>
    <n v="9940478183"/>
    <n v="88"/>
    <n v="100"/>
    <n v="98"/>
    <n v="90"/>
    <n v="90"/>
    <n v="95"/>
    <n v="100"/>
    <n v="90"/>
    <n v="95"/>
    <n v="90"/>
    <n v="9"/>
    <x v="1"/>
  </r>
  <r>
    <s v="AF05308992"/>
    <x v="17"/>
    <s v="santhoshjn11@gmail.com"/>
    <n v="9080553848"/>
    <n v="92"/>
    <n v="100"/>
    <n v="98"/>
    <n v="95"/>
    <n v="90"/>
    <n v="90"/>
    <n v="100"/>
    <n v="80"/>
    <n v="95"/>
    <n v="80"/>
    <n v="9"/>
    <x v="1"/>
  </r>
  <r>
    <s v="AF05309187"/>
    <x v="18"/>
    <s v="sathikzahir97@gmail.com"/>
    <n v="6374140581"/>
    <n v="32"/>
    <n v="100"/>
    <s v="Not Completed"/>
    <s v="Not Completed"/>
    <s v="Not Completed"/>
    <s v="Not Completed"/>
    <s v="Not Completed"/>
    <s v="Not Completed"/>
    <s v="Not Completed"/>
    <s v="Not Completed"/>
    <n v="1"/>
    <x v="2"/>
  </r>
  <r>
    <s v="AF05309275"/>
    <x v="19"/>
    <s v="georgeannette24@gmail.com"/>
    <n v="8884236246"/>
    <n v="0"/>
    <n v="100"/>
    <n v="98"/>
    <n v="90"/>
    <n v="95"/>
    <n v="95"/>
    <n v="100"/>
    <n v="90"/>
    <n v="95"/>
    <n v="90"/>
    <n v="9"/>
    <x v="1"/>
  </r>
  <r>
    <s v="AF05309665"/>
    <x v="20"/>
    <s v="jagadeeswary2006@gmail.com"/>
    <n v="7305459255"/>
    <n v="91"/>
    <n v="100"/>
    <n v="98"/>
    <n v="95"/>
    <n v="93"/>
    <n v="95"/>
    <n v="100"/>
    <n v="95"/>
    <n v="95"/>
    <n v="95"/>
    <n v="9"/>
    <x v="1"/>
  </r>
  <r>
    <s v="AF05308512"/>
    <x v="21"/>
    <s v="sandrasebastian000@gmail.com"/>
    <n v="9677922541"/>
    <n v="99"/>
    <n v="100"/>
    <n v="98"/>
    <n v="95"/>
    <n v="90"/>
    <n v="95"/>
    <n v="100"/>
    <n v="95"/>
    <n v="95"/>
    <n v="96"/>
    <n v="9"/>
    <x v="1"/>
  </r>
  <r>
    <s v="AF05308382"/>
    <x v="22"/>
    <s v="mharini0701@gmail.com"/>
    <n v="6369045864"/>
    <n v="82"/>
    <n v="100"/>
    <n v="96"/>
    <n v="95"/>
    <n v="95"/>
    <n v="95"/>
    <n v="100"/>
    <n v="97"/>
    <n v="95"/>
    <n v="95"/>
    <n v="9"/>
    <x v="1"/>
  </r>
  <r>
    <s v="AF05308381"/>
    <x v="23"/>
    <s v="aarthirajaguru63@gmail.com"/>
    <n v="6379817401"/>
    <n v="96"/>
    <n v="100"/>
    <n v="98"/>
    <n v="96"/>
    <n v="95"/>
    <n v="95"/>
    <n v="100"/>
    <n v="95"/>
    <n v="95"/>
    <n v="95"/>
    <n v="9"/>
    <x v="1"/>
  </r>
  <r>
    <s v="AF05308373"/>
    <x v="24"/>
    <s v="Sivaranjanithillai2010@gmail.com"/>
    <n v="7810058274"/>
    <n v="95"/>
    <n v="100"/>
    <n v="98"/>
    <n v="96"/>
    <n v="95"/>
    <n v="95"/>
    <n v="100"/>
    <n v="95"/>
    <n v="95"/>
    <n v="95"/>
    <n v="9"/>
    <x v="1"/>
  </r>
  <r>
    <s v="AF05308383"/>
    <x v="25"/>
    <s v="yuvayuvaraj331@gmail.com"/>
    <n v="7904928995"/>
    <n v="93"/>
    <n v="100"/>
    <n v="98"/>
    <n v="95"/>
    <n v="95"/>
    <n v="95"/>
    <n v="100"/>
    <n v="95"/>
    <n v="95"/>
    <n v="95"/>
    <n v="9"/>
    <x v="1"/>
  </r>
  <r>
    <s v="AF05308375"/>
    <x v="26"/>
    <s v="joewilliam147@gmail.com"/>
    <n v="6383743886"/>
    <n v="86"/>
    <n v="100"/>
    <n v="98"/>
    <n v="95"/>
    <n v="90"/>
    <n v="95"/>
    <n v="100"/>
    <n v="95"/>
    <n v="95"/>
    <n v="90"/>
    <n v="9"/>
    <x v="1"/>
  </r>
  <r>
    <s v="AF05309755"/>
    <x v="27"/>
    <s v="vshashwath04@gmail.com"/>
    <n v="9342481556"/>
    <n v="77"/>
    <s v="Not Completed"/>
    <s v="Not Completed"/>
    <s v="Not Completed"/>
    <s v="Not Completed"/>
    <s v="Not Completed"/>
    <s v="Not Completed"/>
    <s v="Not Completed"/>
    <s v="Not Completed"/>
    <s v="Not Completed"/>
    <n v="0"/>
    <x v="4"/>
  </r>
  <r>
    <s v="AF05309846"/>
    <x v="28"/>
    <s v="vanshvijeynath27@gmail.com"/>
    <n v="8248673352"/>
    <n v="90"/>
    <n v="100"/>
    <n v="98"/>
    <n v="95"/>
    <n v="90"/>
    <n v="95"/>
    <n v="100"/>
    <n v="95"/>
    <n v="95"/>
    <n v="90"/>
    <n v="9"/>
    <x v="1"/>
  </r>
  <r>
    <s v="AF05309827"/>
    <x v="29"/>
    <s v="thamaraiselvan358@gmail.com"/>
    <n v="9361192818"/>
    <n v="92"/>
    <n v="100"/>
    <n v="95"/>
    <n v="95"/>
    <n v="95"/>
    <n v="95"/>
    <n v="100"/>
    <n v="95"/>
    <n v="95"/>
    <n v="95"/>
    <n v="9"/>
    <x v="1"/>
  </r>
  <r>
    <s v="AF05310365"/>
    <x v="30"/>
    <s v="kishori200510@gmail.com"/>
    <n v="9600797512"/>
    <n v="72"/>
    <n v="100"/>
    <n v="98"/>
    <n v="90"/>
    <n v="95"/>
    <n v="95"/>
    <n v="100"/>
    <n v="96"/>
    <n v="95"/>
    <n v="93"/>
    <n v="9"/>
    <x v="1"/>
  </r>
  <r>
    <s v="AF05310678"/>
    <x v="31"/>
    <s v="afu170798@gmail.com"/>
    <n v="9585575633"/>
    <n v="80"/>
    <n v="100"/>
    <n v="98"/>
    <n v="90"/>
    <n v="95"/>
    <n v="95"/>
    <n v="100"/>
    <s v="Not Completed"/>
    <n v="95"/>
    <s v="Not Completed"/>
    <n v="7"/>
    <x v="5"/>
  </r>
  <r>
    <s v="AF05309754"/>
    <x v="32"/>
    <s v="harishbalaji147@gmail.com"/>
    <n v="8122884357"/>
    <n v="83"/>
    <n v="100"/>
    <n v="96"/>
    <n v="80"/>
    <n v="95"/>
    <n v="95"/>
    <n v="100"/>
    <n v="90"/>
    <n v="95"/>
    <n v="95"/>
    <n v="9"/>
    <x v="1"/>
  </r>
  <r>
    <s v="AF05309824"/>
    <x v="33"/>
    <s v="hariharanst0203@gmail.com"/>
    <n v="7395843655"/>
    <n v="92"/>
    <n v="100"/>
    <n v="96"/>
    <n v="96"/>
    <n v="96"/>
    <n v="95"/>
    <n v="100"/>
    <n v="96"/>
    <n v="95"/>
    <n v="85"/>
    <n v="9"/>
    <x v="1"/>
  </r>
  <r>
    <s v="AF05311479"/>
    <x v="34"/>
    <s v="pavithrasekar1692003@gmail.com"/>
    <n v="9976670874"/>
    <n v="88"/>
    <n v="100"/>
    <n v="98"/>
    <n v="95"/>
    <n v="95"/>
    <n v="95"/>
    <n v="100"/>
    <n v="96"/>
    <n v="95"/>
    <n v="90"/>
    <n v="9"/>
    <x v="1"/>
  </r>
  <r>
    <s v="AF05310227"/>
    <x v="35"/>
    <s v="sanjaip6010@gmail.com"/>
    <n v="9840656793"/>
    <n v="51"/>
    <s v="Not Completed"/>
    <s v="Not Completed"/>
    <s v="Not Completed"/>
    <s v="Not Completed"/>
    <s v="Not Completed"/>
    <s v="Not Completed"/>
    <s v="Not Completed"/>
    <n v="95"/>
    <s v="Not Completed"/>
    <n v="1"/>
    <x v="2"/>
  </r>
  <r>
    <s v="AF05311940"/>
    <x v="36"/>
    <s v="arun101arun101@gmail.com"/>
    <n v="6374667393"/>
    <n v="48"/>
    <s v="Not Completed"/>
    <s v="Not Completed"/>
    <s v="Not Completed"/>
    <s v="Not Completed"/>
    <s v="Not Completed"/>
    <s v="Not Completed"/>
    <s v="Not Completed"/>
    <s v="Not Completed"/>
    <s v="Not Completed"/>
    <n v="0"/>
    <x v="4"/>
  </r>
  <r>
    <s v="AF05312849"/>
    <x v="37"/>
    <s v="ss8536@srmist.edu.in"/>
    <n v="9840442079"/>
    <n v="17"/>
    <s v="Not Completed"/>
    <s v="Not Completed"/>
    <s v="Not Completed"/>
    <s v="Not Completed"/>
    <s v="Not Completed"/>
    <s v="Not Completed"/>
    <s v="Not Completed"/>
    <s v="Not Completed"/>
    <s v="Not Completed"/>
    <n v="0"/>
    <x v="4"/>
  </r>
  <r>
    <s v="AF05312830"/>
    <x v="38"/>
    <s v="somasekarsekar52@gmail.com"/>
    <n v="7639837147"/>
    <n v="36"/>
    <s v="Not Completed"/>
    <s v="Not Completed"/>
    <s v="Not Completed"/>
    <s v="Not Completed"/>
    <s v="Not Completed"/>
    <s v="Not Completed"/>
    <s v="Not Completed"/>
    <s v="Not Completed"/>
    <s v="Not Completed"/>
    <n v="0"/>
    <x v="4"/>
  </r>
  <r>
    <s v="AF05313301"/>
    <x v="39"/>
    <s v="saravanaprabuv5@gmail.com"/>
    <n v="9047730537"/>
    <n v="62"/>
    <n v="100"/>
    <n v="98"/>
    <n v="95"/>
    <n v="95"/>
    <n v="95"/>
    <n v="100"/>
    <n v="90"/>
    <n v="95"/>
    <n v="93"/>
    <n v="9"/>
    <x v="1"/>
  </r>
  <r>
    <s v="AF05313078"/>
    <x v="40"/>
    <s v="priyadharshinid311@gmail.com"/>
    <n v="9994712446"/>
    <n v="20"/>
    <s v="Not Completed"/>
    <s v="Not Completed"/>
    <s v="Not Completed"/>
    <s v="Not Completed"/>
    <s v="Not Completed"/>
    <s v="Not Completed"/>
    <s v="Not Completed"/>
    <s v="Not Completed"/>
    <s v="Not Completed"/>
    <n v="0"/>
    <x v="4"/>
  </r>
  <r>
    <s v="AF05313343"/>
    <x v="41"/>
    <s v="vikramprofessional11@gmail.com"/>
    <n v="6381358811"/>
    <n v="73"/>
    <s v="Not Completed"/>
    <s v="Not Completed"/>
    <s v="Not Completed"/>
    <s v="Not Completed"/>
    <s v="Not Completed"/>
    <s v="Not Completed"/>
    <s v="Not Completed"/>
    <s v="Not Completed"/>
    <n v="80"/>
    <n v="1"/>
    <x v="2"/>
  </r>
  <r>
    <s v="AF05313450"/>
    <x v="42"/>
    <s v="shahir.157igms@gmail.com"/>
    <n v="9042699011"/>
    <n v="80"/>
    <n v="100"/>
    <n v="90"/>
    <n v="90"/>
    <n v="95"/>
    <n v="95"/>
    <n v="100"/>
    <n v="94"/>
    <n v="95"/>
    <n v="90"/>
    <n v="9"/>
    <x v="1"/>
  </r>
  <r>
    <s v="AF05312913"/>
    <x v="43"/>
    <s v="saikumarettare@gmail.com"/>
    <n v="9080440565"/>
    <n v="36"/>
    <s v="Not Completed"/>
    <s v="Not Completed"/>
    <s v="Not Completed"/>
    <s v="Not Completed"/>
    <s v="Not Completed"/>
    <s v="Not Completed"/>
    <s v="Not Completed"/>
    <s v="Not Completed"/>
    <s v="Not Completed"/>
    <n v="0"/>
    <x v="4"/>
  </r>
  <r>
    <s v="AF05313700"/>
    <x v="44"/>
    <s v="smartamirthan@gmail.com"/>
    <n v="7550375297"/>
    <n v="14"/>
    <s v="Not Completed"/>
    <s v="Not Completed"/>
    <s v="Not Completed"/>
    <s v="Not Completed"/>
    <s v="Not Completed"/>
    <s v="Not Completed"/>
    <s v="Not Completed"/>
    <s v="Not Completed"/>
    <s v="Not Completed"/>
    <n v="0"/>
    <x v="4"/>
  </r>
  <r>
    <s v="AF05319991"/>
    <x v="45"/>
    <m/>
    <m/>
    <n v="50"/>
    <m/>
    <m/>
    <m/>
    <m/>
    <m/>
    <m/>
    <m/>
    <n v="95"/>
    <n v="80"/>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50216-6916-4E59-AC84-95F3C5EE78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6">
    <pivotField showAll="0"/>
    <pivotField axis="axisRow" showAll="0">
      <items count="47">
        <item x="23"/>
        <item x="14"/>
        <item x="31"/>
        <item x="44"/>
        <item x="13"/>
        <item x="19"/>
        <item x="36"/>
        <item x="8"/>
        <item x="1"/>
        <item x="33"/>
        <item x="22"/>
        <item x="32"/>
        <item x="20"/>
        <item x="26"/>
        <item x="0"/>
        <item x="30"/>
        <item x="5"/>
        <item x="10"/>
        <item x="45"/>
        <item x="18"/>
        <item x="42"/>
        <item x="11"/>
        <item x="15"/>
        <item x="34"/>
        <item x="40"/>
        <item x="37"/>
        <item x="43"/>
        <item x="12"/>
        <item x="21"/>
        <item x="35"/>
        <item x="17"/>
        <item x="39"/>
        <item x="4"/>
        <item x="6"/>
        <item x="27"/>
        <item x="9"/>
        <item x="24"/>
        <item x="38"/>
        <item x="16"/>
        <item x="7"/>
        <item x="3"/>
        <item x="29"/>
        <item x="28"/>
        <item x="2"/>
        <item x="41"/>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items count="7">
        <item h="1" x="1"/>
        <item h="1" x="0"/>
        <item h="1" x="5"/>
        <item h="1" x="3"/>
        <item x="2"/>
        <item h="1" x="4"/>
        <item t="default"/>
      </items>
    </pivotField>
  </pivotFields>
  <rowFields count="1">
    <field x="1"/>
  </rowFields>
  <rowItems count="5">
    <i>
      <x v="7"/>
    </i>
    <i>
      <x v="19"/>
    </i>
    <i>
      <x v="29"/>
    </i>
    <i>
      <x v="44"/>
    </i>
    <i t="grand">
      <x/>
    </i>
  </rowItems>
  <colFields count="1">
    <field x="-2"/>
  </colFields>
  <colItems count="2">
    <i>
      <x/>
    </i>
    <i i="1">
      <x v="1"/>
    </i>
  </colItems>
  <dataFields count="2">
    <dataField name="Sum of Overall" fld="15" baseField="0" baseItem="0"/>
    <dataField name="Sum of Completed Cou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all" xr10:uid="{266514D5-B4D8-4D1F-882A-5A7F4866A692}" sourceName="Overall">
  <pivotTables>
    <pivotTable tabId="13" name="PivotTable1"/>
  </pivotTables>
  <data>
    <tabular pivotCacheId="2039845697">
      <items count="6">
        <i x="1"/>
        <i x="0"/>
        <i x="5"/>
        <i x="3"/>
        <i x="2"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all" xr10:uid="{C30605B2-F692-4449-95F3-573AD84F7A0A}" cache="Slicer_Overall" caption="Overall"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59D0-A25C-4EF7-9FD7-D6FBD64DA96F}">
  <dimension ref="A2:C8"/>
  <sheetViews>
    <sheetView tabSelected="1" workbookViewId="0">
      <selection activeCell="D12" sqref="D12"/>
    </sheetView>
  </sheetViews>
  <sheetFormatPr defaultRowHeight="14.5" x14ac:dyDescent="0.35"/>
  <cols>
    <col min="1" max="1" width="15.54296875" bestFit="1" customWidth="1"/>
    <col min="2" max="2" width="13" bestFit="1" customWidth="1"/>
    <col min="3" max="3" width="22" bestFit="1" customWidth="1"/>
    <col min="4" max="10" width="12.36328125" bestFit="1" customWidth="1"/>
  </cols>
  <sheetData>
    <row r="2" spans="1:3" x14ac:dyDescent="0.35">
      <c r="B2" s="6" t="s">
        <v>803</v>
      </c>
      <c r="C2" s="6" t="s">
        <v>806</v>
      </c>
    </row>
    <row r="3" spans="1:3" x14ac:dyDescent="0.35">
      <c r="A3" s="18" t="s">
        <v>799</v>
      </c>
      <c r="B3" t="s">
        <v>802</v>
      </c>
      <c r="C3" t="s">
        <v>805</v>
      </c>
    </row>
    <row r="4" spans="1:3" x14ac:dyDescent="0.35">
      <c r="A4" s="19" t="s">
        <v>626</v>
      </c>
      <c r="B4" s="20">
        <v>8</v>
      </c>
      <c r="C4" s="20">
        <v>1</v>
      </c>
    </row>
    <row r="5" spans="1:3" x14ac:dyDescent="0.35">
      <c r="A5" s="19" t="s">
        <v>636</v>
      </c>
      <c r="B5" s="20">
        <v>8</v>
      </c>
      <c r="C5" s="20">
        <v>1</v>
      </c>
    </row>
    <row r="6" spans="1:3" x14ac:dyDescent="0.35">
      <c r="A6" s="19" t="s">
        <v>218</v>
      </c>
      <c r="B6" s="20">
        <v>8</v>
      </c>
      <c r="C6" s="20">
        <v>1</v>
      </c>
    </row>
    <row r="7" spans="1:3" x14ac:dyDescent="0.35">
      <c r="A7" s="19" t="s">
        <v>14</v>
      </c>
      <c r="B7" s="20">
        <v>8</v>
      </c>
      <c r="C7" s="20">
        <v>1</v>
      </c>
    </row>
    <row r="8" spans="1:3" x14ac:dyDescent="0.35">
      <c r="A8" s="19" t="s">
        <v>800</v>
      </c>
      <c r="B8" s="20">
        <v>32</v>
      </c>
      <c r="C8" s="20">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4110-5D03-4D12-824F-96A3A09822B0}">
  <dimension ref="A1:P48"/>
  <sheetViews>
    <sheetView topLeftCell="B1" workbookViewId="0">
      <selection sqref="A1:XFD1048576"/>
    </sheetView>
  </sheetViews>
  <sheetFormatPr defaultRowHeight="14.5" x14ac:dyDescent="0.35"/>
  <cols>
    <col min="1" max="1" width="13.08984375" bestFit="1" customWidth="1"/>
    <col min="2" max="2" width="28.7265625" bestFit="1" customWidth="1"/>
    <col min="3" max="3" width="32.36328125" bestFit="1" customWidth="1"/>
    <col min="4" max="4" width="11.7265625" bestFit="1" customWidth="1"/>
    <col min="5" max="5" width="10.453125" bestFit="1" customWidth="1"/>
    <col min="14" max="14" width="13.08984375" bestFit="1" customWidth="1"/>
  </cols>
  <sheetData>
    <row r="1" spans="1:16" s="6" customFormat="1" ht="15.5" x14ac:dyDescent="0.35">
      <c r="A1" s="7" t="s">
        <v>722</v>
      </c>
      <c r="B1" s="7" t="s">
        <v>723</v>
      </c>
      <c r="C1" s="7" t="s">
        <v>724</v>
      </c>
      <c r="D1" s="7" t="s">
        <v>725</v>
      </c>
      <c r="E1" s="15" t="s">
        <v>788</v>
      </c>
      <c r="F1" s="15" t="s">
        <v>790</v>
      </c>
      <c r="G1" s="15" t="s">
        <v>791</v>
      </c>
      <c r="H1" s="15" t="s">
        <v>792</v>
      </c>
      <c r="I1" s="15" t="s">
        <v>793</v>
      </c>
      <c r="J1" s="15" t="s">
        <v>794</v>
      </c>
      <c r="K1" s="15" t="s">
        <v>795</v>
      </c>
      <c r="L1" s="15" t="s">
        <v>796</v>
      </c>
      <c r="M1" s="15" t="s">
        <v>797</v>
      </c>
      <c r="N1" s="15" t="s">
        <v>798</v>
      </c>
      <c r="O1" s="15" t="s">
        <v>804</v>
      </c>
      <c r="P1" s="15" t="s">
        <v>801</v>
      </c>
    </row>
    <row r="2" spans="1:16" ht="15.5" x14ac:dyDescent="0.35">
      <c r="A2" s="8" t="s">
        <v>726</v>
      </c>
      <c r="B2" s="8" t="s">
        <v>166</v>
      </c>
      <c r="C2" s="8" t="s">
        <v>167</v>
      </c>
      <c r="D2" s="9">
        <v>9789410647</v>
      </c>
      <c r="E2" s="16">
        <v>66</v>
      </c>
      <c r="F2" s="16">
        <f>_xlfn.XLOOKUP(A2,'Lab-1'!A:A,'Lab-1'!G:G,"Not Completed")</f>
        <v>100</v>
      </c>
      <c r="G2" s="16">
        <f>_xlfn.XLOOKUP(A2,'Lab-2'!A:A,'Lab-2'!H:H,"Not Completed")</f>
        <v>97</v>
      </c>
      <c r="H2" s="16">
        <f>_xlfn.XLOOKUP(A2,'Lab-3'!A:A,'Lab-3'!H:H,"Not Completed")</f>
        <v>95</v>
      </c>
      <c r="I2" s="16">
        <f>_xlfn.XLOOKUP(A2,'Lab-4'!A:A,'Lab-4'!H:H,"Not Completed")</f>
        <v>90</v>
      </c>
      <c r="J2" s="16">
        <f>_xlfn.XLOOKUP(A2,'Lab-5'!A:A,'Lab-5'!H:H,"Not Completed")</f>
        <v>95</v>
      </c>
      <c r="K2" s="16">
        <f>_xlfn.XLOOKUP(A2,'Lab-6'!A:A,'Lab-6'!G:G,"Not Completed")</f>
        <v>100</v>
      </c>
      <c r="L2" s="16">
        <f>_xlfn.XLOOKUP(A2,'Lab-7'!A:A,'Lab-7'!H:H,"Not Completed")</f>
        <v>90</v>
      </c>
      <c r="M2" s="16">
        <f>_xlfn.XLOOKUP(A2,'Lab-8'!A:A,'Lab-8'!H:H,"Not Completed")</f>
        <v>95</v>
      </c>
      <c r="N2" s="16" t="str">
        <f>_xlfn.XLOOKUP(A2,'Lab-9'!A:A,'Lab-9'!H:H,"Not Completed")</f>
        <v>Not Completed</v>
      </c>
      <c r="O2" s="16">
        <f>COUNT(F2:N2)</f>
        <v>8</v>
      </c>
      <c r="P2" s="16">
        <f>COUNTIF(F2:N2,"Not Completed")</f>
        <v>1</v>
      </c>
    </row>
    <row r="3" spans="1:16" ht="15.5" x14ac:dyDescent="0.35">
      <c r="A3" s="8" t="s">
        <v>727</v>
      </c>
      <c r="B3" s="8" t="s">
        <v>65</v>
      </c>
      <c r="C3" s="8" t="s">
        <v>66</v>
      </c>
      <c r="D3" s="9">
        <v>8825487437</v>
      </c>
      <c r="E3" s="16">
        <v>89</v>
      </c>
      <c r="F3" s="16">
        <f>_xlfn.XLOOKUP(A3,'Lab-1'!A:A,'Lab-1'!G:G,"Not Completed")</f>
        <v>100</v>
      </c>
      <c r="G3" s="16">
        <f>_xlfn.XLOOKUP(A3,'Lab-2'!A:A,'Lab-2'!H:H,"Not Completed")</f>
        <v>98</v>
      </c>
      <c r="H3" s="16">
        <f>_xlfn.XLOOKUP(A3,'Lab-3'!A:A,'Lab-3'!H:H,"Not Completed")</f>
        <v>95</v>
      </c>
      <c r="I3" s="16">
        <f>_xlfn.XLOOKUP(A3,'Lab-4'!A:A,'Lab-4'!H:H,"Not Completed")</f>
        <v>95</v>
      </c>
      <c r="J3" s="16">
        <f>_xlfn.XLOOKUP(A3,'Lab-5'!A:A,'Lab-5'!H:H,"Not Completed")</f>
        <v>95</v>
      </c>
      <c r="K3" s="16">
        <f>_xlfn.XLOOKUP(A3,'Lab-6'!A:A,'Lab-6'!G:G,"Not Completed")</f>
        <v>100</v>
      </c>
      <c r="L3" s="16">
        <f>_xlfn.XLOOKUP(A3,'Lab-7'!A:A,'Lab-7'!H:H,"Not Completed")</f>
        <v>95</v>
      </c>
      <c r="M3" s="16">
        <f>_xlfn.XLOOKUP(A3,'Lab-8'!A:A,'Lab-8'!H:H,"Not Completed")</f>
        <v>95</v>
      </c>
      <c r="N3" s="16">
        <f>_xlfn.XLOOKUP(A3,'Lab-9'!A:A,'Lab-9'!H:H,"Not Completed")</f>
        <v>90</v>
      </c>
      <c r="O3" s="16">
        <f t="shared" ref="O3:O47" si="0">COUNT(F3:N3)</f>
        <v>9</v>
      </c>
      <c r="P3" s="16">
        <f t="shared" ref="P3:P47" si="1">COUNTIF(F3:N3,"Not Completed")</f>
        <v>0</v>
      </c>
    </row>
    <row r="4" spans="1:16" ht="15.5" x14ac:dyDescent="0.35">
      <c r="A4" s="8" t="s">
        <v>728</v>
      </c>
      <c r="B4" s="8" t="s">
        <v>124</v>
      </c>
      <c r="C4" s="8" t="s">
        <v>125</v>
      </c>
      <c r="D4" s="9">
        <v>9361354702</v>
      </c>
      <c r="E4" s="16">
        <v>80</v>
      </c>
      <c r="F4" s="16">
        <f>_xlfn.XLOOKUP(A4,'Lab-1'!A:A,'Lab-1'!G:G,"Not Completed")</f>
        <v>100</v>
      </c>
      <c r="G4" s="16">
        <f>_xlfn.XLOOKUP(A4,'Lab-2'!A:A,'Lab-2'!H:H,"Not Completed")</f>
        <v>95</v>
      </c>
      <c r="H4" s="16">
        <f>_xlfn.XLOOKUP(A4,'Lab-3'!A:A,'Lab-3'!H:H,"Not Completed")</f>
        <v>95</v>
      </c>
      <c r="I4" s="16">
        <f>_xlfn.XLOOKUP(A4,'Lab-4'!A:A,'Lab-4'!H:H,"Not Completed")</f>
        <v>0</v>
      </c>
      <c r="J4" s="16">
        <f>_xlfn.XLOOKUP(A4,'Lab-5'!A:A,'Lab-5'!H:H,"Not Completed")</f>
        <v>95</v>
      </c>
      <c r="K4" s="16">
        <f>_xlfn.XLOOKUP(A4,'Lab-6'!A:A,'Lab-6'!G:G,"Not Completed")</f>
        <v>100</v>
      </c>
      <c r="L4" s="16">
        <f>_xlfn.XLOOKUP(A4,'Lab-7'!A:A,'Lab-7'!H:H,"Not Completed")</f>
        <v>96</v>
      </c>
      <c r="M4" s="16">
        <f>_xlfn.XLOOKUP(A4,'Lab-8'!A:A,'Lab-8'!H:H,"Not Completed")</f>
        <v>95</v>
      </c>
      <c r="N4" s="16">
        <f>_xlfn.XLOOKUP(A4,'Lab-9'!A:A,'Lab-9'!H:H,"Not Completed")</f>
        <v>95</v>
      </c>
      <c r="O4" s="16">
        <f t="shared" si="0"/>
        <v>9</v>
      </c>
      <c r="P4" s="16">
        <f t="shared" si="1"/>
        <v>0</v>
      </c>
    </row>
    <row r="5" spans="1:16" ht="15.5" x14ac:dyDescent="0.35">
      <c r="A5" s="8" t="s">
        <v>729</v>
      </c>
      <c r="B5" s="8" t="s">
        <v>69</v>
      </c>
      <c r="C5" s="8" t="s">
        <v>70</v>
      </c>
      <c r="D5" s="9">
        <v>6380927613</v>
      </c>
      <c r="E5" s="16">
        <v>94</v>
      </c>
      <c r="F5" s="16">
        <f>_xlfn.XLOOKUP(A5,'Lab-1'!A:A,'Lab-1'!G:G,"Not Completed")</f>
        <v>100</v>
      </c>
      <c r="G5" s="16">
        <f>_xlfn.XLOOKUP(A5,'Lab-2'!A:A,'Lab-2'!H:H,"Not Completed")</f>
        <v>98</v>
      </c>
      <c r="H5" s="16">
        <f>_xlfn.XLOOKUP(A5,'Lab-3'!A:A,'Lab-3'!H:H,"Not Completed")</f>
        <v>96</v>
      </c>
      <c r="I5" s="16">
        <f>_xlfn.XLOOKUP(A5,'Lab-4'!A:A,'Lab-4'!H:H,"Not Completed")</f>
        <v>90</v>
      </c>
      <c r="J5" s="16">
        <f>_xlfn.XLOOKUP(A5,'Lab-5'!A:A,'Lab-5'!H:H,"Not Completed")</f>
        <v>95</v>
      </c>
      <c r="K5" s="16">
        <f>_xlfn.XLOOKUP(A5,'Lab-6'!A:A,'Lab-6'!G:G,"Not Completed")</f>
        <v>100</v>
      </c>
      <c r="L5" s="16">
        <f>_xlfn.XLOOKUP(A5,'Lab-7'!A:A,'Lab-7'!H:H,"Not Completed")</f>
        <v>94</v>
      </c>
      <c r="M5" s="16">
        <f>_xlfn.XLOOKUP(A5,'Lab-8'!A:A,'Lab-8'!H:H,"Not Completed")</f>
        <v>95</v>
      </c>
      <c r="N5" s="16">
        <f>_xlfn.XLOOKUP(A5,'Lab-9'!A:A,'Lab-9'!H:H,"Not Completed")</f>
        <v>90</v>
      </c>
      <c r="O5" s="16">
        <f t="shared" si="0"/>
        <v>9</v>
      </c>
      <c r="P5" s="16">
        <f t="shared" si="1"/>
        <v>0</v>
      </c>
    </row>
    <row r="6" spans="1:16" ht="15.5" x14ac:dyDescent="0.35">
      <c r="A6" s="8" t="s">
        <v>730</v>
      </c>
      <c r="B6" s="8" t="s">
        <v>104</v>
      </c>
      <c r="C6" s="8" t="s">
        <v>105</v>
      </c>
      <c r="D6" s="9">
        <v>9361419198</v>
      </c>
      <c r="E6" s="16">
        <v>92</v>
      </c>
      <c r="F6" s="16">
        <f>_xlfn.XLOOKUP(A6,'Lab-1'!A:A,'Lab-1'!G:G,"Not Completed")</f>
        <v>100</v>
      </c>
      <c r="G6" s="16">
        <f>_xlfn.XLOOKUP(A6,'Lab-2'!A:A,'Lab-2'!H:H,"Not Completed")</f>
        <v>96</v>
      </c>
      <c r="H6" s="16">
        <f>_xlfn.XLOOKUP(A6,'Lab-3'!A:A,'Lab-3'!H:H,"Not Completed")</f>
        <v>95</v>
      </c>
      <c r="I6" s="16">
        <f>_xlfn.XLOOKUP(A6,'Lab-4'!A:A,'Lab-4'!H:H,"Not Completed")</f>
        <v>95</v>
      </c>
      <c r="J6" s="16">
        <f>_xlfn.XLOOKUP(A6,'Lab-5'!A:A,'Lab-5'!H:H,"Not Completed")</f>
        <v>95</v>
      </c>
      <c r="K6" s="16">
        <f>_xlfn.XLOOKUP(A6,'Lab-6'!A:A,'Lab-6'!G:G,"Not Completed")</f>
        <v>100</v>
      </c>
      <c r="L6" s="16">
        <f>_xlfn.XLOOKUP(A6,'Lab-7'!A:A,'Lab-7'!H:H,"Not Completed")</f>
        <v>95</v>
      </c>
      <c r="M6" s="16">
        <f>_xlfn.XLOOKUP(A6,'Lab-8'!A:A,'Lab-8'!H:H,"Not Completed")</f>
        <v>95</v>
      </c>
      <c r="N6" s="16">
        <f>_xlfn.XLOOKUP(A6,'Lab-9'!A:A,'Lab-9'!H:H,"Not Completed")</f>
        <v>95</v>
      </c>
      <c r="O6" s="16">
        <f t="shared" si="0"/>
        <v>9</v>
      </c>
      <c r="P6" s="16">
        <f t="shared" si="1"/>
        <v>0</v>
      </c>
    </row>
    <row r="7" spans="1:16" ht="15.5" x14ac:dyDescent="0.35">
      <c r="A7" s="8" t="s">
        <v>731</v>
      </c>
      <c r="B7" s="8" t="s">
        <v>233</v>
      </c>
      <c r="C7" s="8" t="s">
        <v>234</v>
      </c>
      <c r="D7" s="9">
        <v>9360237456</v>
      </c>
      <c r="E7" s="16">
        <v>75</v>
      </c>
      <c r="F7" s="16">
        <f>_xlfn.XLOOKUP(A7,'Lab-1'!A:A,'Lab-1'!G:G,"Not Completed")</f>
        <v>100</v>
      </c>
      <c r="G7" s="16">
        <f>_xlfn.XLOOKUP(A7,'Lab-2'!A:A,'Lab-2'!H:H,"Not Completed")</f>
        <v>95</v>
      </c>
      <c r="H7" s="16">
        <f>_xlfn.XLOOKUP(A7,'Lab-3'!A:A,'Lab-3'!H:H,"Not Completed")</f>
        <v>90</v>
      </c>
      <c r="I7" s="16">
        <f>_xlfn.XLOOKUP(A7,'Lab-4'!A:A,'Lab-4'!H:H,"Not Completed")</f>
        <v>90</v>
      </c>
      <c r="J7" s="16">
        <f>_xlfn.XLOOKUP(A7,'Lab-5'!A:A,'Lab-5'!H:H,"Not Completed")</f>
        <v>95</v>
      </c>
      <c r="K7" s="16">
        <f>_xlfn.XLOOKUP(A7,'Lab-6'!A:A,'Lab-6'!G:G,"Not Completed")</f>
        <v>100</v>
      </c>
      <c r="L7" s="16">
        <f>_xlfn.XLOOKUP(A7,'Lab-7'!A:A,'Lab-7'!H:H,"Not Completed")</f>
        <v>80</v>
      </c>
      <c r="M7" s="16">
        <f>_xlfn.XLOOKUP(A7,'Lab-8'!A:A,'Lab-8'!H:H,"Not Completed")</f>
        <v>95</v>
      </c>
      <c r="N7" s="16" t="str">
        <f>_xlfn.XLOOKUP(A7,'Lab-9'!A:A,'Lab-9'!H:H,"Not Completed")</f>
        <v>Not Completed</v>
      </c>
      <c r="O7" s="16">
        <f t="shared" si="0"/>
        <v>8</v>
      </c>
      <c r="P7" s="16">
        <f t="shared" si="1"/>
        <v>1</v>
      </c>
    </row>
    <row r="8" spans="1:16" ht="15.5" x14ac:dyDescent="0.35">
      <c r="A8" s="8" t="s">
        <v>732</v>
      </c>
      <c r="B8" s="8" t="s">
        <v>160</v>
      </c>
      <c r="C8" s="8" t="s">
        <v>161</v>
      </c>
      <c r="D8" s="9">
        <v>9751234634</v>
      </c>
      <c r="E8" s="16">
        <v>85</v>
      </c>
      <c r="F8" s="16">
        <f>_xlfn.XLOOKUP(A8,'Lab-1'!A:A,'Lab-1'!G:G,"Not Completed")</f>
        <v>100</v>
      </c>
      <c r="G8" s="16">
        <f>_xlfn.XLOOKUP(A8,'Lab-2'!A:A,'Lab-2'!H:H,"Not Completed")</f>
        <v>98</v>
      </c>
      <c r="H8" s="16">
        <f>_xlfn.XLOOKUP(A8,'Lab-3'!A:A,'Lab-3'!H:H,"Not Completed")</f>
        <v>98</v>
      </c>
      <c r="I8" s="16">
        <f>_xlfn.XLOOKUP(A8,'Lab-4'!A:A,'Lab-4'!H:H,"Not Completed")</f>
        <v>92</v>
      </c>
      <c r="J8" s="16">
        <f>_xlfn.XLOOKUP(A8,'Lab-5'!A:A,'Lab-5'!H:H,"Not Completed")</f>
        <v>95</v>
      </c>
      <c r="K8" s="16">
        <f>_xlfn.XLOOKUP(A8,'Lab-6'!A:A,'Lab-6'!G:G,"Not Completed")</f>
        <v>100</v>
      </c>
      <c r="L8" s="16">
        <f>_xlfn.XLOOKUP(A8,'Lab-7'!A:A,'Lab-7'!H:H,"Not Completed")</f>
        <v>90</v>
      </c>
      <c r="M8" s="16">
        <f>_xlfn.XLOOKUP(A8,'Lab-8'!A:A,'Lab-8'!H:H,"Not Completed")</f>
        <v>95</v>
      </c>
      <c r="N8" s="16" t="str">
        <f>_xlfn.XLOOKUP(A8,'Lab-9'!A:A,'Lab-9'!H:H,"Not Completed")</f>
        <v>Not Completed</v>
      </c>
      <c r="O8" s="16">
        <f t="shared" si="0"/>
        <v>8</v>
      </c>
      <c r="P8" s="16">
        <f t="shared" si="1"/>
        <v>1</v>
      </c>
    </row>
    <row r="9" spans="1:16" ht="15.5" x14ac:dyDescent="0.35">
      <c r="A9" s="8" t="s">
        <v>733</v>
      </c>
      <c r="B9" s="8" t="s">
        <v>25</v>
      </c>
      <c r="C9" s="8" t="s">
        <v>26</v>
      </c>
      <c r="D9" s="9">
        <v>6369082252</v>
      </c>
      <c r="E9" s="16">
        <v>96</v>
      </c>
      <c r="F9" s="16">
        <f>_xlfn.XLOOKUP(A9,'Lab-1'!A:A,'Lab-1'!G:G,"Not Completed")</f>
        <v>100</v>
      </c>
      <c r="G9" s="16">
        <f>_xlfn.XLOOKUP(A9,'Lab-2'!A:A,'Lab-2'!H:H,"Not Completed")</f>
        <v>98</v>
      </c>
      <c r="H9" s="16">
        <f>_xlfn.XLOOKUP(A9,'Lab-3'!A:A,'Lab-3'!H:H,"Not Completed")</f>
        <v>98</v>
      </c>
      <c r="I9" s="16">
        <f>_xlfn.XLOOKUP(A9,'Lab-4'!A:A,'Lab-4'!H:H,"Not Completed")</f>
        <v>96</v>
      </c>
      <c r="J9" s="16">
        <f>_xlfn.XLOOKUP(A9,'Lab-5'!A:A,'Lab-5'!H:H,"Not Completed")</f>
        <v>96</v>
      </c>
      <c r="K9" s="16">
        <f>_xlfn.XLOOKUP(A9,'Lab-6'!A:A,'Lab-6'!G:G,"Not Completed")</f>
        <v>100</v>
      </c>
      <c r="L9" s="16">
        <f>_xlfn.XLOOKUP(A9,'Lab-7'!A:A,'Lab-7'!H:H,"Not Completed")</f>
        <v>96</v>
      </c>
      <c r="M9" s="16">
        <f>_xlfn.XLOOKUP(A9,'Lab-8'!A:A,'Lab-8'!H:H,"Not Completed")</f>
        <v>96</v>
      </c>
      <c r="N9" s="16">
        <f>_xlfn.XLOOKUP(A9,'Lab-9'!A:A,'Lab-9'!H:H,"Not Completed")</f>
        <v>97</v>
      </c>
      <c r="O9" s="16">
        <f t="shared" si="0"/>
        <v>9</v>
      </c>
      <c r="P9" s="16">
        <f t="shared" si="1"/>
        <v>0</v>
      </c>
    </row>
    <row r="10" spans="1:16" ht="15.5" x14ac:dyDescent="0.35">
      <c r="A10" s="8" t="s">
        <v>734</v>
      </c>
      <c r="B10" s="8" t="s">
        <v>626</v>
      </c>
      <c r="C10" s="8" t="s">
        <v>627</v>
      </c>
      <c r="D10" s="9">
        <v>6384203529</v>
      </c>
      <c r="E10" s="16">
        <v>53</v>
      </c>
      <c r="F10" s="16">
        <f>_xlfn.XLOOKUP(A10,'Lab-1'!A:A,'Lab-1'!G:G,"Not Completed")</f>
        <v>100</v>
      </c>
      <c r="G10" s="16" t="str">
        <f>_xlfn.XLOOKUP(A10,'Lab-2'!A:A,'Lab-2'!H:H,"Not Completed")</f>
        <v>Not Completed</v>
      </c>
      <c r="H10" s="16" t="str">
        <f>_xlfn.XLOOKUP(A10,'Lab-3'!A:A,'Lab-3'!H:H,"Not Completed")</f>
        <v>Not Completed</v>
      </c>
      <c r="I10" s="16" t="str">
        <f>_xlfn.XLOOKUP(A10,'Lab-4'!A:A,'Lab-4'!H:H,"Not Completed")</f>
        <v>Not Completed</v>
      </c>
      <c r="J10" s="16" t="str">
        <f>_xlfn.XLOOKUP(A10,'Lab-5'!A:A,'Lab-5'!H:H,"Not Completed")</f>
        <v>Not Completed</v>
      </c>
      <c r="K10" s="16" t="str">
        <f>_xlfn.XLOOKUP(A10,'Lab-6'!A:A,'Lab-6'!G:G,"Not Completed")</f>
        <v>Not Completed</v>
      </c>
      <c r="L10" s="16" t="str">
        <f>_xlfn.XLOOKUP(A10,'Lab-7'!A:A,'Lab-7'!H:H,"Not Completed")</f>
        <v>Not Completed</v>
      </c>
      <c r="M10" s="16" t="str">
        <f>_xlfn.XLOOKUP(A10,'Lab-8'!A:A,'Lab-8'!H:H,"Not Completed")</f>
        <v>Not Completed</v>
      </c>
      <c r="N10" s="16" t="str">
        <f>_xlfn.XLOOKUP(A10,'Lab-9'!A:A,'Lab-9'!H:H,"Not Completed")</f>
        <v>Not Completed</v>
      </c>
      <c r="O10" s="16">
        <f t="shared" si="0"/>
        <v>1</v>
      </c>
      <c r="P10" s="16">
        <f t="shared" si="1"/>
        <v>8</v>
      </c>
    </row>
    <row r="11" spans="1:16" ht="15.5" x14ac:dyDescent="0.35">
      <c r="A11" s="8" t="s">
        <v>735</v>
      </c>
      <c r="B11" s="8" t="s">
        <v>238</v>
      </c>
      <c r="C11" s="8" t="s">
        <v>239</v>
      </c>
      <c r="D11" s="9">
        <v>7305142195</v>
      </c>
      <c r="E11" s="16">
        <v>77</v>
      </c>
      <c r="F11" s="16">
        <f>_xlfn.XLOOKUP(A11,'Lab-1'!A:A,'Lab-1'!G:G,"Not Completed")</f>
        <v>100</v>
      </c>
      <c r="G11" s="16">
        <f>_xlfn.XLOOKUP(A11,'Lab-2'!A:A,'Lab-2'!H:H,"Not Completed")</f>
        <v>96</v>
      </c>
      <c r="H11" s="16">
        <f>_xlfn.XLOOKUP(A11,'Lab-3'!A:A,'Lab-3'!H:H,"Not Completed")</f>
        <v>95</v>
      </c>
      <c r="I11" s="16">
        <f>_xlfn.XLOOKUP(A11,'Lab-4'!A:A,'Lab-4'!H:H,"Not Completed")</f>
        <v>90</v>
      </c>
      <c r="J11" s="16">
        <f>_xlfn.XLOOKUP(A11,'Lab-5'!A:A,'Lab-5'!H:H,"Not Completed")</f>
        <v>95</v>
      </c>
      <c r="K11" s="16">
        <f>_xlfn.XLOOKUP(A11,'Lab-6'!A:A,'Lab-6'!G:G,"Not Completed")</f>
        <v>100</v>
      </c>
      <c r="L11" s="16">
        <f>_xlfn.XLOOKUP(A11,'Lab-7'!A:A,'Lab-7'!H:H,"Not Completed")</f>
        <v>90</v>
      </c>
      <c r="M11" s="16">
        <f>_xlfn.XLOOKUP(A11,'Lab-8'!A:A,'Lab-8'!H:H,"Not Completed")</f>
        <v>96</v>
      </c>
      <c r="N11" s="16" t="str">
        <f>_xlfn.XLOOKUP(A11,'Lab-9'!A:A,'Lab-9'!H:H,"Not Completed")</f>
        <v>Not Completed</v>
      </c>
      <c r="O11" s="16">
        <f t="shared" si="0"/>
        <v>8</v>
      </c>
      <c r="P11" s="16">
        <f t="shared" si="1"/>
        <v>1</v>
      </c>
    </row>
    <row r="12" spans="1:16" ht="15.5" x14ac:dyDescent="0.35">
      <c r="A12" s="8" t="s">
        <v>736</v>
      </c>
      <c r="B12" s="8" t="s">
        <v>114</v>
      </c>
      <c r="C12" s="8" t="s">
        <v>115</v>
      </c>
      <c r="D12" s="9">
        <v>9080240033</v>
      </c>
      <c r="E12" s="16">
        <v>82</v>
      </c>
      <c r="F12" s="16">
        <f>_xlfn.XLOOKUP(A12,'Lab-1'!A:A,'Lab-1'!G:G,"Not Completed")</f>
        <v>100</v>
      </c>
      <c r="G12" s="16">
        <f>_xlfn.XLOOKUP(A12,'Lab-2'!A:A,'Lab-2'!H:H,"Not Completed")</f>
        <v>96</v>
      </c>
      <c r="H12" s="16">
        <f>_xlfn.XLOOKUP(A12,'Lab-3'!A:A,'Lab-3'!H:H,"Not Completed")</f>
        <v>90</v>
      </c>
      <c r="I12" s="16">
        <f>_xlfn.XLOOKUP(A12,'Lab-4'!A:A,'Lab-4'!H:H,"Not Completed")</f>
        <v>95</v>
      </c>
      <c r="J12" s="16">
        <f>_xlfn.XLOOKUP(A12,'Lab-5'!A:A,'Lab-5'!H:H,"Not Completed")</f>
        <v>95</v>
      </c>
      <c r="K12" s="16">
        <f>_xlfn.XLOOKUP(A12,'Lab-6'!A:A,'Lab-6'!G:G,"Not Completed")</f>
        <v>100</v>
      </c>
      <c r="L12" s="16">
        <f>_xlfn.XLOOKUP(A12,'Lab-7'!A:A,'Lab-7'!H:H,"Not Completed")</f>
        <v>95</v>
      </c>
      <c r="M12" s="16">
        <f>_xlfn.XLOOKUP(A12,'Lab-8'!A:A,'Lab-8'!H:H,"Not Completed")</f>
        <v>95</v>
      </c>
      <c r="N12" s="16">
        <f>_xlfn.XLOOKUP(A12,'Lab-9'!A:A,'Lab-9'!H:H,"Not Completed")</f>
        <v>95</v>
      </c>
      <c r="O12" s="16">
        <f t="shared" si="0"/>
        <v>9</v>
      </c>
      <c r="P12" s="16">
        <f t="shared" si="1"/>
        <v>0</v>
      </c>
    </row>
    <row r="13" spans="1:16" ht="15.5" x14ac:dyDescent="0.35">
      <c r="A13" s="8" t="s">
        <v>737</v>
      </c>
      <c r="B13" s="8" t="s">
        <v>119</v>
      </c>
      <c r="C13" s="8" t="s">
        <v>120</v>
      </c>
      <c r="D13" s="9">
        <v>7448911580</v>
      </c>
      <c r="E13" s="16">
        <v>82</v>
      </c>
      <c r="F13" s="16">
        <f>_xlfn.XLOOKUP(A13,'Lab-1'!A:A,'Lab-1'!G:G,"Not Completed")</f>
        <v>100</v>
      </c>
      <c r="G13" s="16">
        <f>_xlfn.XLOOKUP(A13,'Lab-2'!A:A,'Lab-2'!H:H,"Not Completed")</f>
        <v>97</v>
      </c>
      <c r="H13" s="16">
        <f>_xlfn.XLOOKUP(A13,'Lab-3'!A:A,'Lab-3'!H:H,"Not Completed")</f>
        <v>95</v>
      </c>
      <c r="I13" s="16">
        <f>_xlfn.XLOOKUP(A13,'Lab-4'!A:A,'Lab-4'!H:H,"Not Completed")</f>
        <v>96</v>
      </c>
      <c r="J13" s="16">
        <f>_xlfn.XLOOKUP(A13,'Lab-5'!A:A,'Lab-5'!H:H,"Not Completed")</f>
        <v>95</v>
      </c>
      <c r="K13" s="16">
        <f>_xlfn.XLOOKUP(A13,'Lab-6'!A:A,'Lab-6'!G:G,"Not Completed")</f>
        <v>100</v>
      </c>
      <c r="L13" s="16">
        <f>_xlfn.XLOOKUP(A13,'Lab-7'!A:A,'Lab-7'!H:H,"Not Completed")</f>
        <v>95</v>
      </c>
      <c r="M13" s="16">
        <f>_xlfn.XLOOKUP(A13,'Lab-8'!A:A,'Lab-8'!H:H,"Not Completed")</f>
        <v>95</v>
      </c>
      <c r="N13" s="16">
        <f>_xlfn.XLOOKUP(A13,'Lab-9'!A:A,'Lab-9'!H:H,"Not Completed")</f>
        <v>95</v>
      </c>
      <c r="O13" s="16">
        <f t="shared" si="0"/>
        <v>9</v>
      </c>
      <c r="P13" s="16">
        <f t="shared" si="1"/>
        <v>0</v>
      </c>
    </row>
    <row r="14" spans="1:16" ht="15.5" x14ac:dyDescent="0.35">
      <c r="A14" s="8" t="s">
        <v>738</v>
      </c>
      <c r="B14" s="8" t="s">
        <v>31</v>
      </c>
      <c r="C14" s="8" t="s">
        <v>32</v>
      </c>
      <c r="D14" s="9">
        <v>9943873755</v>
      </c>
      <c r="E14" s="16">
        <v>94</v>
      </c>
      <c r="F14" s="16">
        <f>_xlfn.XLOOKUP(A14,'Lab-1'!A:A,'Lab-1'!G:G,"Not Completed")</f>
        <v>100</v>
      </c>
      <c r="G14" s="16">
        <f>_xlfn.XLOOKUP(A14,'Lab-2'!A:A,'Lab-2'!H:H,"Not Completed")</f>
        <v>96</v>
      </c>
      <c r="H14" s="16">
        <f>_xlfn.XLOOKUP(A14,'Lab-3'!A:A,'Lab-3'!H:H,"Not Completed")</f>
        <v>95</v>
      </c>
      <c r="I14" s="16">
        <f>_xlfn.XLOOKUP(A14,'Lab-4'!A:A,'Lab-4'!H:H,"Not Completed")</f>
        <v>90</v>
      </c>
      <c r="J14" s="16">
        <f>_xlfn.XLOOKUP(A14,'Lab-5'!A:A,'Lab-5'!H:H,"Not Completed")</f>
        <v>95</v>
      </c>
      <c r="K14" s="16">
        <f>_xlfn.XLOOKUP(A14,'Lab-6'!A:A,'Lab-6'!G:G,"Not Completed")</f>
        <v>100</v>
      </c>
      <c r="L14" s="16">
        <f>_xlfn.XLOOKUP(A14,'Lab-7'!A:A,'Lab-7'!H:H,"Not Completed")</f>
        <v>95</v>
      </c>
      <c r="M14" s="16">
        <f>_xlfn.XLOOKUP(A14,'Lab-8'!A:A,'Lab-8'!H:H,"Not Completed")</f>
        <v>95</v>
      </c>
      <c r="N14" s="16">
        <f>_xlfn.XLOOKUP(A14,'Lab-9'!A:A,'Lab-9'!H:H,"Not Completed")</f>
        <v>95</v>
      </c>
      <c r="O14" s="16">
        <f t="shared" si="0"/>
        <v>9</v>
      </c>
      <c r="P14" s="16">
        <f t="shared" si="1"/>
        <v>0</v>
      </c>
    </row>
    <row r="15" spans="1:16" ht="15.5" x14ac:dyDescent="0.35">
      <c r="A15" s="8" t="s">
        <v>739</v>
      </c>
      <c r="B15" s="8" t="s">
        <v>370</v>
      </c>
      <c r="C15" s="8" t="s">
        <v>371</v>
      </c>
      <c r="D15" s="9">
        <v>9003817378</v>
      </c>
      <c r="E15" s="16">
        <v>76</v>
      </c>
      <c r="F15" s="16">
        <f>_xlfn.XLOOKUP(A15,'Lab-1'!A:A,'Lab-1'!G:G,"Not Completed")</f>
        <v>100</v>
      </c>
      <c r="G15" s="16">
        <f>_xlfn.XLOOKUP(A15,'Lab-2'!A:A,'Lab-2'!H:H,"Not Completed")</f>
        <v>95</v>
      </c>
      <c r="H15" s="16">
        <f>_xlfn.XLOOKUP(A15,'Lab-3'!A:A,'Lab-3'!H:H,"Not Completed")</f>
        <v>95</v>
      </c>
      <c r="I15" s="16">
        <f>_xlfn.XLOOKUP(A15,'Lab-4'!A:A,'Lab-4'!H:H,"Not Completed")</f>
        <v>95</v>
      </c>
      <c r="J15" s="16">
        <f>_xlfn.XLOOKUP(A15,'Lab-5'!A:A,'Lab-5'!H:H,"Not Completed")</f>
        <v>95</v>
      </c>
      <c r="K15" s="16" t="str">
        <f>_xlfn.XLOOKUP(A15,'Lab-6'!A:A,'Lab-6'!G:G,"Not Completed")</f>
        <v>Not Completed</v>
      </c>
      <c r="L15" s="16" t="str">
        <f>_xlfn.XLOOKUP(A15,'Lab-7'!A:A,'Lab-7'!H:H,"Not Completed")</f>
        <v>Not Completed</v>
      </c>
      <c r="M15" s="16" t="str">
        <f>_xlfn.XLOOKUP(A15,'Lab-8'!A:A,'Lab-8'!H:H,"Not Completed")</f>
        <v>Not Completed</v>
      </c>
      <c r="N15" s="16" t="str">
        <f>_xlfn.XLOOKUP(A15,'Lab-9'!A:A,'Lab-9'!H:H,"Not Completed")</f>
        <v>Not Completed</v>
      </c>
      <c r="O15" s="16">
        <f t="shared" si="0"/>
        <v>5</v>
      </c>
      <c r="P15" s="16">
        <f t="shared" si="1"/>
        <v>4</v>
      </c>
    </row>
    <row r="16" spans="1:16" s="14" customFormat="1" ht="15.5" x14ac:dyDescent="0.35">
      <c r="A16" s="12" t="s">
        <v>740</v>
      </c>
      <c r="B16" s="12" t="s">
        <v>741</v>
      </c>
      <c r="C16" s="12" t="s">
        <v>742</v>
      </c>
      <c r="D16" s="13">
        <v>9791180165</v>
      </c>
      <c r="E16" s="17">
        <v>0</v>
      </c>
      <c r="F16" s="16" t="str">
        <f>_xlfn.XLOOKUP(A16,'Lab-1'!A:A,'Lab-1'!G:G,"Not Completed")</f>
        <v>Not Completed</v>
      </c>
      <c r="G16" s="16" t="str">
        <f>_xlfn.XLOOKUP(A16,'Lab-2'!A:A,'Lab-2'!H:H,"Not Completed")</f>
        <v>Not Completed</v>
      </c>
      <c r="H16" s="16" t="str">
        <f>_xlfn.XLOOKUP(A16,'Lab-3'!A:A,'Lab-3'!H:H,"Not Completed")</f>
        <v>Not Completed</v>
      </c>
      <c r="I16" s="16" t="str">
        <f>_xlfn.XLOOKUP(A16,'Lab-4'!A:A,'Lab-4'!H:H,"Not Completed")</f>
        <v>Not Completed</v>
      </c>
      <c r="J16" s="16" t="str">
        <f>_xlfn.XLOOKUP(A16,'Lab-5'!A:A,'Lab-5'!H:H,"Not Completed")</f>
        <v>Not Completed</v>
      </c>
      <c r="K16" s="16" t="str">
        <f>_xlfn.XLOOKUP(A16,'Lab-6'!A:A,'Lab-6'!G:G,"Not Completed")</f>
        <v>Not Completed</v>
      </c>
      <c r="L16" s="16" t="str">
        <f>_xlfn.XLOOKUP(A16,'Lab-7'!A:A,'Lab-7'!H:H,"Not Completed")</f>
        <v>Not Completed</v>
      </c>
      <c r="M16" s="16" t="str">
        <f>_xlfn.XLOOKUP(A16,'Lab-8'!A:A,'Lab-8'!H:H,"Not Completed")</f>
        <v>Not Completed</v>
      </c>
      <c r="N16" s="16" t="str">
        <f>_xlfn.XLOOKUP(A16,'Lab-9'!A:A,'Lab-9'!H:H,"Not Completed")</f>
        <v>Not Completed</v>
      </c>
      <c r="O16" s="16">
        <f t="shared" si="0"/>
        <v>0</v>
      </c>
      <c r="P16" s="16">
        <f t="shared" si="1"/>
        <v>9</v>
      </c>
    </row>
    <row r="17" spans="1:16" ht="15.5" x14ac:dyDescent="0.35">
      <c r="A17" s="8" t="s">
        <v>743</v>
      </c>
      <c r="B17" s="8" t="s">
        <v>133</v>
      </c>
      <c r="C17" s="8" t="s">
        <v>134</v>
      </c>
      <c r="D17" s="9">
        <v>6374105694</v>
      </c>
      <c r="E17" s="16">
        <v>77</v>
      </c>
      <c r="F17" s="16">
        <f>_xlfn.XLOOKUP(A17,'Lab-1'!A:A,'Lab-1'!G:G,"Not Completed")</f>
        <v>100</v>
      </c>
      <c r="G17" s="16">
        <f>_xlfn.XLOOKUP(A17,'Lab-2'!A:A,'Lab-2'!H:H,"Not Completed")</f>
        <v>95</v>
      </c>
      <c r="H17" s="16">
        <f>_xlfn.XLOOKUP(A17,'Lab-3'!A:A,'Lab-3'!H:H,"Not Completed")</f>
        <v>95</v>
      </c>
      <c r="I17" s="16">
        <f>_xlfn.XLOOKUP(A17,'Lab-4'!A:A,'Lab-4'!H:H,"Not Completed")</f>
        <v>95</v>
      </c>
      <c r="J17" s="16">
        <f>_xlfn.XLOOKUP(A17,'Lab-5'!A:A,'Lab-5'!H:H,"Not Completed")</f>
        <v>95</v>
      </c>
      <c r="K17" s="16">
        <f>_xlfn.XLOOKUP(A17,'Lab-6'!A:A,'Lab-6'!G:G,"Not Completed")</f>
        <v>100</v>
      </c>
      <c r="L17" s="16">
        <f>_xlfn.XLOOKUP(A17,'Lab-7'!A:A,'Lab-7'!H:H,"Not Completed")</f>
        <v>95</v>
      </c>
      <c r="M17" s="16">
        <f>_xlfn.XLOOKUP(A17,'Lab-8'!A:A,'Lab-8'!H:H,"Not Completed")</f>
        <v>95</v>
      </c>
      <c r="N17" s="16">
        <f>_xlfn.XLOOKUP(A17,'Lab-9'!A:A,'Lab-9'!H:H,"Not Completed")</f>
        <v>95</v>
      </c>
      <c r="O17" s="16">
        <f t="shared" si="0"/>
        <v>9</v>
      </c>
      <c r="P17" s="16">
        <f t="shared" si="1"/>
        <v>0</v>
      </c>
    </row>
    <row r="18" spans="1:16" ht="15.5" x14ac:dyDescent="0.35">
      <c r="A18" s="8" t="s">
        <v>744</v>
      </c>
      <c r="B18" s="8" t="s">
        <v>153</v>
      </c>
      <c r="C18" s="8" t="s">
        <v>154</v>
      </c>
      <c r="D18" s="9">
        <v>9940478183</v>
      </c>
      <c r="E18" s="16">
        <v>88</v>
      </c>
      <c r="F18" s="16">
        <f>_xlfn.XLOOKUP(A18,'Lab-1'!A:A,'Lab-1'!G:G,"Not Completed")</f>
        <v>100</v>
      </c>
      <c r="G18" s="16">
        <f>_xlfn.XLOOKUP(A18,'Lab-2'!A:A,'Lab-2'!H:H,"Not Completed")</f>
        <v>98</v>
      </c>
      <c r="H18" s="16">
        <f>_xlfn.XLOOKUP(A18,'Lab-3'!A:A,'Lab-3'!H:H,"Not Completed")</f>
        <v>90</v>
      </c>
      <c r="I18" s="16">
        <f>_xlfn.XLOOKUP(A18,'Lab-4'!A:A,'Lab-4'!H:H,"Not Completed")</f>
        <v>90</v>
      </c>
      <c r="J18" s="16">
        <f>_xlfn.XLOOKUP(A18,'Lab-5'!A:A,'Lab-5'!H:H,"Not Completed")</f>
        <v>95</v>
      </c>
      <c r="K18" s="16">
        <f>_xlfn.XLOOKUP(A18,'Lab-6'!A:A,'Lab-6'!G:G,"Not Completed")</f>
        <v>100</v>
      </c>
      <c r="L18" s="16">
        <f>_xlfn.XLOOKUP(A18,'Lab-7'!A:A,'Lab-7'!H:H,"Not Completed")</f>
        <v>90</v>
      </c>
      <c r="M18" s="16">
        <f>_xlfn.XLOOKUP(A18,'Lab-8'!A:A,'Lab-8'!H:H,"Not Completed")</f>
        <v>95</v>
      </c>
      <c r="N18" s="16">
        <f>_xlfn.XLOOKUP(A18,'Lab-9'!A:A,'Lab-9'!H:H,"Not Completed")</f>
        <v>90</v>
      </c>
      <c r="O18" s="16">
        <f t="shared" si="0"/>
        <v>9</v>
      </c>
      <c r="P18" s="16">
        <f t="shared" si="1"/>
        <v>0</v>
      </c>
    </row>
    <row r="19" spans="1:16" ht="15.5" x14ac:dyDescent="0.35">
      <c r="A19" s="8" t="s">
        <v>745</v>
      </c>
      <c r="B19" s="8" t="s">
        <v>40</v>
      </c>
      <c r="C19" s="8" t="s">
        <v>41</v>
      </c>
      <c r="D19" s="9">
        <v>9080553848</v>
      </c>
      <c r="E19" s="16">
        <v>92</v>
      </c>
      <c r="F19" s="16">
        <f>_xlfn.XLOOKUP(A19,'Lab-1'!A:A,'Lab-1'!G:G,"Not Completed")</f>
        <v>100</v>
      </c>
      <c r="G19" s="16">
        <f>_xlfn.XLOOKUP(A19,'Lab-2'!A:A,'Lab-2'!H:H,"Not Completed")</f>
        <v>98</v>
      </c>
      <c r="H19" s="16">
        <f>_xlfn.XLOOKUP(A19,'Lab-3'!A:A,'Lab-3'!H:H,"Not Completed")</f>
        <v>95</v>
      </c>
      <c r="I19" s="16">
        <f>_xlfn.XLOOKUP(A19,'Lab-4'!A:A,'Lab-4'!H:H,"Not Completed")</f>
        <v>90</v>
      </c>
      <c r="J19" s="16">
        <f>_xlfn.XLOOKUP(A19,'Lab-5'!A:A,'Lab-5'!H:H,"Not Completed")</f>
        <v>90</v>
      </c>
      <c r="K19" s="16">
        <f>_xlfn.XLOOKUP(A19,'Lab-6'!A:A,'Lab-6'!G:G,"Not Completed")</f>
        <v>100</v>
      </c>
      <c r="L19" s="16">
        <f>_xlfn.XLOOKUP(A19,'Lab-7'!A:A,'Lab-7'!H:H,"Not Completed")</f>
        <v>80</v>
      </c>
      <c r="M19" s="16">
        <f>_xlfn.XLOOKUP(A19,'Lab-8'!A:A,'Lab-8'!H:H,"Not Completed")</f>
        <v>95</v>
      </c>
      <c r="N19" s="16">
        <f>_xlfn.XLOOKUP(A19,'Lab-9'!A:A,'Lab-9'!H:H,"Not Completed")</f>
        <v>80</v>
      </c>
      <c r="O19" s="16">
        <f t="shared" si="0"/>
        <v>9</v>
      </c>
      <c r="P19" s="16">
        <f t="shared" si="1"/>
        <v>0</v>
      </c>
    </row>
    <row r="20" spans="1:16" ht="15.5" x14ac:dyDescent="0.35">
      <c r="A20" s="8" t="s">
        <v>746</v>
      </c>
      <c r="B20" s="8" t="s">
        <v>636</v>
      </c>
      <c r="C20" s="8" t="s">
        <v>637</v>
      </c>
      <c r="D20" s="9">
        <v>6374140581</v>
      </c>
      <c r="E20" s="16">
        <v>32</v>
      </c>
      <c r="F20" s="16">
        <f>_xlfn.XLOOKUP(A20,'Lab-1'!A:A,'Lab-1'!G:G,"Not Completed")</f>
        <v>100</v>
      </c>
      <c r="G20" s="16" t="str">
        <f>_xlfn.XLOOKUP(A20,'Lab-2'!A:A,'Lab-2'!H:H,"Not Completed")</f>
        <v>Not Completed</v>
      </c>
      <c r="H20" s="16" t="str">
        <f>_xlfn.XLOOKUP(A20,'Lab-3'!A:A,'Lab-3'!H:H,"Not Completed")</f>
        <v>Not Completed</v>
      </c>
      <c r="I20" s="16" t="str">
        <f>_xlfn.XLOOKUP(A20,'Lab-4'!A:A,'Lab-4'!H:H,"Not Completed")</f>
        <v>Not Completed</v>
      </c>
      <c r="J20" s="16" t="str">
        <f>_xlfn.XLOOKUP(A20,'Lab-5'!A:A,'Lab-5'!H:H,"Not Completed")</f>
        <v>Not Completed</v>
      </c>
      <c r="K20" s="16" t="str">
        <f>_xlfn.XLOOKUP(A20,'Lab-6'!A:A,'Lab-6'!G:G,"Not Completed")</f>
        <v>Not Completed</v>
      </c>
      <c r="L20" s="16" t="str">
        <f>_xlfn.XLOOKUP(A20,'Lab-7'!A:A,'Lab-7'!H:H,"Not Completed")</f>
        <v>Not Completed</v>
      </c>
      <c r="M20" s="16" t="str">
        <f>_xlfn.XLOOKUP(A20,'Lab-8'!A:A,'Lab-8'!H:H,"Not Completed")</f>
        <v>Not Completed</v>
      </c>
      <c r="N20" s="16" t="str">
        <f>_xlfn.XLOOKUP(A20,'Lab-9'!A:A,'Lab-9'!H:H,"Not Completed")</f>
        <v>Not Completed</v>
      </c>
      <c r="O20" s="16">
        <f t="shared" si="0"/>
        <v>1</v>
      </c>
      <c r="P20" s="16">
        <f t="shared" si="1"/>
        <v>8</v>
      </c>
    </row>
    <row r="21" spans="1:16" ht="15.5" x14ac:dyDescent="0.35">
      <c r="A21" s="12" t="s">
        <v>747</v>
      </c>
      <c r="B21" s="12" t="s">
        <v>55</v>
      </c>
      <c r="C21" s="12" t="s">
        <v>56</v>
      </c>
      <c r="D21" s="13">
        <v>8884236246</v>
      </c>
      <c r="E21" s="16">
        <v>0</v>
      </c>
      <c r="F21" s="16">
        <f>_xlfn.XLOOKUP(A21,'Lab-1'!A:A,'Lab-1'!G:G,"Not Completed")</f>
        <v>100</v>
      </c>
      <c r="G21" s="16">
        <f>_xlfn.XLOOKUP(A21,'Lab-2'!A:A,'Lab-2'!H:H,"Not Completed")</f>
        <v>98</v>
      </c>
      <c r="H21" s="16">
        <f>_xlfn.XLOOKUP(A21,'Lab-3'!A:A,'Lab-3'!H:H,"Not Completed")</f>
        <v>90</v>
      </c>
      <c r="I21" s="16">
        <f>_xlfn.XLOOKUP(A21,'Lab-4'!A:A,'Lab-4'!H:H,"Not Completed")</f>
        <v>95</v>
      </c>
      <c r="J21" s="16">
        <f>_xlfn.XLOOKUP(A21,'Lab-5'!A:A,'Lab-5'!H:H,"Not Completed")</f>
        <v>95</v>
      </c>
      <c r="K21" s="16">
        <f>_xlfn.XLOOKUP(A21,'Lab-6'!A:A,'Lab-6'!G:G,"Not Completed")</f>
        <v>100</v>
      </c>
      <c r="L21" s="16">
        <f>_xlfn.XLOOKUP(A21,'Lab-7'!A:A,'Lab-7'!H:H,"Not Completed")</f>
        <v>90</v>
      </c>
      <c r="M21" s="16">
        <f>_xlfn.XLOOKUP(A21,'Lab-8'!A:A,'Lab-8'!H:H,"Not Completed")</f>
        <v>95</v>
      </c>
      <c r="N21" s="16">
        <f>_xlfn.XLOOKUP(A21,'Lab-9'!A:A,'Lab-9'!H:H,"Not Completed")</f>
        <v>90</v>
      </c>
      <c r="O21" s="16">
        <f t="shared" si="0"/>
        <v>9</v>
      </c>
      <c r="P21" s="16">
        <f t="shared" si="1"/>
        <v>0</v>
      </c>
    </row>
    <row r="22" spans="1:16" ht="15.5" x14ac:dyDescent="0.35">
      <c r="A22" s="8" t="s">
        <v>748</v>
      </c>
      <c r="B22" s="8" t="s">
        <v>94</v>
      </c>
      <c r="C22" s="8" t="s">
        <v>95</v>
      </c>
      <c r="D22" s="9">
        <v>7305459255</v>
      </c>
      <c r="E22" s="16">
        <v>91</v>
      </c>
      <c r="F22" s="16">
        <f>_xlfn.XLOOKUP(A22,'Lab-1'!A:A,'Lab-1'!G:G,"Not Completed")</f>
        <v>100</v>
      </c>
      <c r="G22" s="16">
        <f>_xlfn.XLOOKUP(A22,'Lab-2'!A:A,'Lab-2'!H:H,"Not Completed")</f>
        <v>98</v>
      </c>
      <c r="H22" s="16">
        <f>_xlfn.XLOOKUP(A22,'Lab-3'!A:A,'Lab-3'!H:H,"Not Completed")</f>
        <v>95</v>
      </c>
      <c r="I22" s="16">
        <f>_xlfn.XLOOKUP(A22,'Lab-4'!A:A,'Lab-4'!H:H,"Not Completed")</f>
        <v>93</v>
      </c>
      <c r="J22" s="16">
        <f>_xlfn.XLOOKUP(A22,'Lab-5'!A:A,'Lab-5'!H:H,"Not Completed")</f>
        <v>95</v>
      </c>
      <c r="K22" s="16">
        <f>_xlfn.XLOOKUP(A22,'Lab-6'!A:A,'Lab-6'!G:G,"Not Completed")</f>
        <v>100</v>
      </c>
      <c r="L22" s="16">
        <f>_xlfn.XLOOKUP(A22,'Lab-7'!A:A,'Lab-7'!H:H,"Not Completed")</f>
        <v>95</v>
      </c>
      <c r="M22" s="16">
        <f>_xlfn.XLOOKUP(A22,'Lab-8'!A:A,'Lab-8'!H:H,"Not Completed")</f>
        <v>95</v>
      </c>
      <c r="N22" s="16">
        <f>_xlfn.XLOOKUP(A22,'Lab-9'!A:A,'Lab-9'!H:H,"Not Completed")</f>
        <v>95</v>
      </c>
      <c r="O22" s="16">
        <f t="shared" si="0"/>
        <v>9</v>
      </c>
      <c r="P22" s="16">
        <f t="shared" si="1"/>
        <v>0</v>
      </c>
    </row>
    <row r="23" spans="1:16" ht="15.5" x14ac:dyDescent="0.35">
      <c r="A23" s="8" t="s">
        <v>749</v>
      </c>
      <c r="B23" s="8" t="s">
        <v>20</v>
      </c>
      <c r="C23" s="8" t="s">
        <v>21</v>
      </c>
      <c r="D23" s="9">
        <v>9677922541</v>
      </c>
      <c r="E23" s="16">
        <v>99</v>
      </c>
      <c r="F23" s="16">
        <f>_xlfn.XLOOKUP(A23,'Lab-1'!A:A,'Lab-1'!G:G,"Not Completed")</f>
        <v>100</v>
      </c>
      <c r="G23" s="16">
        <f>_xlfn.XLOOKUP(A23,'Lab-2'!A:A,'Lab-2'!H:H,"Not Completed")</f>
        <v>98</v>
      </c>
      <c r="H23" s="16">
        <f>_xlfn.XLOOKUP(A23,'Lab-3'!A:A,'Lab-3'!H:H,"Not Completed")</f>
        <v>95</v>
      </c>
      <c r="I23" s="16">
        <f>_xlfn.XLOOKUP(A23,'Lab-4'!A:A,'Lab-4'!H:H,"Not Completed")</f>
        <v>90</v>
      </c>
      <c r="J23" s="16">
        <f>_xlfn.XLOOKUP(A23,'Lab-5'!A:A,'Lab-5'!H:H,"Not Completed")</f>
        <v>95</v>
      </c>
      <c r="K23" s="16">
        <f>_xlfn.XLOOKUP(A23,'Lab-6'!A:A,'Lab-6'!G:G,"Not Completed")</f>
        <v>100</v>
      </c>
      <c r="L23" s="16">
        <f>_xlfn.XLOOKUP(A23,'Lab-7'!A:A,'Lab-7'!H:H,"Not Completed")</f>
        <v>95</v>
      </c>
      <c r="M23" s="16">
        <f>_xlfn.XLOOKUP(A23,'Lab-8'!A:A,'Lab-8'!H:H,"Not Completed")</f>
        <v>95</v>
      </c>
      <c r="N23" s="16">
        <f>_xlfn.XLOOKUP(A23,'Lab-9'!A:A,'Lab-9'!H:H,"Not Completed")</f>
        <v>96</v>
      </c>
      <c r="O23" s="16">
        <f t="shared" si="0"/>
        <v>9</v>
      </c>
      <c r="P23" s="16">
        <f t="shared" si="1"/>
        <v>0</v>
      </c>
    </row>
    <row r="24" spans="1:16" ht="15.5" x14ac:dyDescent="0.35">
      <c r="A24" s="8" t="s">
        <v>750</v>
      </c>
      <c r="B24" s="8" t="s">
        <v>89</v>
      </c>
      <c r="C24" s="8" t="s">
        <v>90</v>
      </c>
      <c r="D24" s="9">
        <v>6369045864</v>
      </c>
      <c r="E24" s="16">
        <v>82</v>
      </c>
      <c r="F24" s="16">
        <f>_xlfn.XLOOKUP(A24,'Lab-1'!A:A,'Lab-1'!G:G,"Not Completed")</f>
        <v>100</v>
      </c>
      <c r="G24" s="16">
        <f>_xlfn.XLOOKUP(A24,'Lab-2'!A:A,'Lab-2'!H:H,"Not Completed")</f>
        <v>96</v>
      </c>
      <c r="H24" s="16">
        <f>_xlfn.XLOOKUP(A24,'Lab-3'!A:A,'Lab-3'!H:H,"Not Completed")</f>
        <v>95</v>
      </c>
      <c r="I24" s="16">
        <f>_xlfn.XLOOKUP(A24,'Lab-4'!A:A,'Lab-4'!H:H,"Not Completed")</f>
        <v>95</v>
      </c>
      <c r="J24" s="16">
        <f>_xlfn.XLOOKUP(A24,'Lab-5'!A:A,'Lab-5'!H:H,"Not Completed")</f>
        <v>95</v>
      </c>
      <c r="K24" s="16">
        <f>_xlfn.XLOOKUP(A24,'Lab-6'!A:A,'Lab-6'!G:G,"Not Completed")</f>
        <v>100</v>
      </c>
      <c r="L24" s="16">
        <f>_xlfn.XLOOKUP(A24,'Lab-7'!A:A,'Lab-7'!H:H,"Not Completed")</f>
        <v>97</v>
      </c>
      <c r="M24" s="16">
        <f>_xlfn.XLOOKUP(A24,'Lab-8'!A:A,'Lab-8'!H:H,"Not Completed")</f>
        <v>95</v>
      </c>
      <c r="N24" s="16">
        <f>_xlfn.XLOOKUP(A24,'Lab-9'!A:A,'Lab-9'!H:H,"Not Completed")</f>
        <v>95</v>
      </c>
      <c r="O24" s="16">
        <f t="shared" si="0"/>
        <v>9</v>
      </c>
      <c r="P24" s="16">
        <f t="shared" si="1"/>
        <v>0</v>
      </c>
    </row>
    <row r="25" spans="1:16" ht="15.5" x14ac:dyDescent="0.35">
      <c r="A25" s="8" t="s">
        <v>751</v>
      </c>
      <c r="B25" s="8" t="s">
        <v>73</v>
      </c>
      <c r="C25" s="8" t="s">
        <v>74</v>
      </c>
      <c r="D25" s="9">
        <v>6379817401</v>
      </c>
      <c r="E25" s="16">
        <v>96</v>
      </c>
      <c r="F25" s="16">
        <f>_xlfn.XLOOKUP(A25,'Lab-1'!A:A,'Lab-1'!G:G,"Not Completed")</f>
        <v>100</v>
      </c>
      <c r="G25" s="16">
        <f>_xlfn.XLOOKUP(A25,'Lab-2'!A:A,'Lab-2'!H:H,"Not Completed")</f>
        <v>98</v>
      </c>
      <c r="H25" s="16">
        <f>_xlfn.XLOOKUP(A25,'Lab-3'!A:A,'Lab-3'!H:H,"Not Completed")</f>
        <v>96</v>
      </c>
      <c r="I25" s="16">
        <f>_xlfn.XLOOKUP(A25,'Lab-4'!A:A,'Lab-4'!H:H,"Not Completed")</f>
        <v>95</v>
      </c>
      <c r="J25" s="16">
        <f>_xlfn.XLOOKUP(A25,'Lab-5'!A:A,'Lab-5'!H:H,"Not Completed")</f>
        <v>95</v>
      </c>
      <c r="K25" s="16">
        <f>_xlfn.XLOOKUP(A25,'Lab-6'!A:A,'Lab-6'!G:G,"Not Completed")</f>
        <v>100</v>
      </c>
      <c r="L25" s="16">
        <f>_xlfn.XLOOKUP(A25,'Lab-7'!A:A,'Lab-7'!H:H,"Not Completed")</f>
        <v>95</v>
      </c>
      <c r="M25" s="16">
        <f>_xlfn.XLOOKUP(A25,'Lab-8'!A:A,'Lab-8'!H:H,"Not Completed")</f>
        <v>95</v>
      </c>
      <c r="N25" s="16">
        <f>_xlfn.XLOOKUP(A25,'Lab-9'!A:A,'Lab-9'!H:H,"Not Completed")</f>
        <v>95</v>
      </c>
      <c r="O25" s="16">
        <f t="shared" si="0"/>
        <v>9</v>
      </c>
      <c r="P25" s="16">
        <f t="shared" si="1"/>
        <v>0</v>
      </c>
    </row>
    <row r="26" spans="1:16" ht="15.5" x14ac:dyDescent="0.35">
      <c r="A26" s="8" t="s">
        <v>752</v>
      </c>
      <c r="B26" s="8" t="s">
        <v>753</v>
      </c>
      <c r="C26" s="8" t="s">
        <v>85</v>
      </c>
      <c r="D26" s="9">
        <v>7810058274</v>
      </c>
      <c r="E26" s="16">
        <v>95</v>
      </c>
      <c r="F26" s="16">
        <f>_xlfn.XLOOKUP(A26,'Lab-1'!A:A,'Lab-1'!G:G,"Not Completed")</f>
        <v>100</v>
      </c>
      <c r="G26" s="16">
        <f>_xlfn.XLOOKUP(A26,'Lab-2'!A:A,'Lab-2'!H:H,"Not Completed")</f>
        <v>98</v>
      </c>
      <c r="H26" s="16">
        <f>_xlfn.XLOOKUP(A26,'Lab-3'!A:A,'Lab-3'!H:H,"Not Completed")</f>
        <v>96</v>
      </c>
      <c r="I26" s="16">
        <f>_xlfn.XLOOKUP(A26,'Lab-4'!A:A,'Lab-4'!H:H,"Not Completed")</f>
        <v>95</v>
      </c>
      <c r="J26" s="16">
        <f>_xlfn.XLOOKUP(A26,'Lab-5'!A:A,'Lab-5'!H:H,"Not Completed")</f>
        <v>95</v>
      </c>
      <c r="K26" s="16">
        <f>_xlfn.XLOOKUP(A26,'Lab-6'!A:A,'Lab-6'!G:G,"Not Completed")</f>
        <v>100</v>
      </c>
      <c r="L26" s="16">
        <f>_xlfn.XLOOKUP(A26,'Lab-7'!A:A,'Lab-7'!H:H,"Not Completed")</f>
        <v>95</v>
      </c>
      <c r="M26" s="16">
        <f>_xlfn.XLOOKUP(A26,'Lab-8'!A:A,'Lab-8'!H:H,"Not Completed")</f>
        <v>95</v>
      </c>
      <c r="N26" s="16">
        <f>_xlfn.XLOOKUP(A26,'Lab-9'!A:A,'Lab-9'!H:H,"Not Completed")</f>
        <v>95</v>
      </c>
      <c r="O26" s="16">
        <f t="shared" si="0"/>
        <v>9</v>
      </c>
      <c r="P26" s="16">
        <f t="shared" si="1"/>
        <v>0</v>
      </c>
    </row>
    <row r="27" spans="1:16" ht="15.5" x14ac:dyDescent="0.35">
      <c r="A27" s="8" t="s">
        <v>754</v>
      </c>
      <c r="B27" s="8" t="s">
        <v>128</v>
      </c>
      <c r="C27" s="8" t="s">
        <v>129</v>
      </c>
      <c r="D27" s="9">
        <v>7904928995</v>
      </c>
      <c r="E27" s="16">
        <v>93</v>
      </c>
      <c r="F27" s="16">
        <f>_xlfn.XLOOKUP(A27,'Lab-1'!A:A,'Lab-1'!G:G,"Not Completed")</f>
        <v>100</v>
      </c>
      <c r="G27" s="16">
        <f>_xlfn.XLOOKUP(A27,'Lab-2'!A:A,'Lab-2'!H:H,"Not Completed")</f>
        <v>98</v>
      </c>
      <c r="H27" s="16">
        <f>_xlfn.XLOOKUP(A27,'Lab-3'!A:A,'Lab-3'!H:H,"Not Completed")</f>
        <v>95</v>
      </c>
      <c r="I27" s="16">
        <f>_xlfn.XLOOKUP(A27,'Lab-4'!A:A,'Lab-4'!H:H,"Not Completed")</f>
        <v>95</v>
      </c>
      <c r="J27" s="16">
        <f>_xlfn.XLOOKUP(A27,'Lab-5'!A:A,'Lab-5'!H:H,"Not Completed")</f>
        <v>95</v>
      </c>
      <c r="K27" s="16">
        <f>_xlfn.XLOOKUP(A27,'Lab-6'!A:A,'Lab-6'!G:G,"Not Completed")</f>
        <v>100</v>
      </c>
      <c r="L27" s="16">
        <f>_xlfn.XLOOKUP(A27,'Lab-7'!A:A,'Lab-7'!H:H,"Not Completed")</f>
        <v>95</v>
      </c>
      <c r="M27" s="16">
        <f>_xlfn.XLOOKUP(A27,'Lab-8'!A:A,'Lab-8'!H:H,"Not Completed")</f>
        <v>95</v>
      </c>
      <c r="N27" s="16">
        <f>_xlfn.XLOOKUP(A27,'Lab-9'!A:A,'Lab-9'!H:H,"Not Completed")</f>
        <v>95</v>
      </c>
      <c r="O27" s="16">
        <f t="shared" si="0"/>
        <v>9</v>
      </c>
      <c r="P27" s="16">
        <f t="shared" si="1"/>
        <v>0</v>
      </c>
    </row>
    <row r="28" spans="1:16" ht="15.5" x14ac:dyDescent="0.35">
      <c r="A28" s="8" t="s">
        <v>755</v>
      </c>
      <c r="B28" s="8" t="s">
        <v>60</v>
      </c>
      <c r="C28" s="8" t="s">
        <v>61</v>
      </c>
      <c r="D28" s="9">
        <v>6383743886</v>
      </c>
      <c r="E28" s="16">
        <v>86</v>
      </c>
      <c r="F28" s="16">
        <f>_xlfn.XLOOKUP(A28,'Lab-1'!A:A,'Lab-1'!G:G,"Not Completed")</f>
        <v>100</v>
      </c>
      <c r="G28" s="16">
        <f>_xlfn.XLOOKUP(A28,'Lab-2'!A:A,'Lab-2'!H:H,"Not Completed")</f>
        <v>98</v>
      </c>
      <c r="H28" s="16">
        <f>_xlfn.XLOOKUP(A28,'Lab-3'!A:A,'Lab-3'!H:H,"Not Completed")</f>
        <v>95</v>
      </c>
      <c r="I28" s="16">
        <f>_xlfn.XLOOKUP(A28,'Lab-4'!A:A,'Lab-4'!H:H,"Not Completed")</f>
        <v>90</v>
      </c>
      <c r="J28" s="16">
        <f>_xlfn.XLOOKUP(A28,'Lab-5'!A:A,'Lab-5'!H:H,"Not Completed")</f>
        <v>95</v>
      </c>
      <c r="K28" s="16">
        <f>_xlfn.XLOOKUP(A28,'Lab-6'!A:A,'Lab-6'!G:G,"Not Completed")</f>
        <v>100</v>
      </c>
      <c r="L28" s="16">
        <f>_xlfn.XLOOKUP(A28,'Lab-7'!A:A,'Lab-7'!H:H,"Not Completed")</f>
        <v>95</v>
      </c>
      <c r="M28" s="16">
        <f>_xlfn.XLOOKUP(A28,'Lab-8'!A:A,'Lab-8'!H:H,"Not Completed")</f>
        <v>95</v>
      </c>
      <c r="N28" s="16">
        <f>_xlfn.XLOOKUP(A28,'Lab-9'!A:A,'Lab-9'!H:H,"Not Completed")</f>
        <v>90</v>
      </c>
      <c r="O28" s="16">
        <f t="shared" si="0"/>
        <v>9</v>
      </c>
      <c r="P28" s="16">
        <f t="shared" si="1"/>
        <v>0</v>
      </c>
    </row>
    <row r="29" spans="1:16" ht="15.5" x14ac:dyDescent="0.35">
      <c r="A29" s="8" t="s">
        <v>756</v>
      </c>
      <c r="B29" s="8" t="s">
        <v>757</v>
      </c>
      <c r="C29" s="8" t="s">
        <v>758</v>
      </c>
      <c r="D29" s="9">
        <v>9342481556</v>
      </c>
      <c r="E29" s="16">
        <v>77</v>
      </c>
      <c r="F29" s="16" t="str">
        <f>_xlfn.XLOOKUP(A29,'Lab-1'!A:A,'Lab-1'!G:G,"Not Completed")</f>
        <v>Not Completed</v>
      </c>
      <c r="G29" s="16" t="str">
        <f>_xlfn.XLOOKUP(A29,'Lab-2'!A:A,'Lab-2'!H:H,"Not Completed")</f>
        <v>Not Completed</v>
      </c>
      <c r="H29" s="16" t="str">
        <f>_xlfn.XLOOKUP(A29,'Lab-3'!A:A,'Lab-3'!H:H,"Not Completed")</f>
        <v>Not Completed</v>
      </c>
      <c r="I29" s="16" t="str">
        <f>_xlfn.XLOOKUP(A29,'Lab-4'!A:A,'Lab-4'!H:H,"Not Completed")</f>
        <v>Not Completed</v>
      </c>
      <c r="J29" s="16" t="str">
        <f>_xlfn.XLOOKUP(A29,'Lab-5'!A:A,'Lab-5'!H:H,"Not Completed")</f>
        <v>Not Completed</v>
      </c>
      <c r="K29" s="16" t="str">
        <f>_xlfn.XLOOKUP(A29,'Lab-6'!A:A,'Lab-6'!G:G,"Not Completed")</f>
        <v>Not Completed</v>
      </c>
      <c r="L29" s="16" t="str">
        <f>_xlfn.XLOOKUP(A29,'Lab-7'!A:A,'Lab-7'!H:H,"Not Completed")</f>
        <v>Not Completed</v>
      </c>
      <c r="M29" s="16" t="str">
        <f>_xlfn.XLOOKUP(A29,'Lab-8'!A:A,'Lab-8'!H:H,"Not Completed")</f>
        <v>Not Completed</v>
      </c>
      <c r="N29" s="16" t="str">
        <f>_xlfn.XLOOKUP(A29,'Lab-9'!A:A,'Lab-9'!H:H,"Not Completed")</f>
        <v>Not Completed</v>
      </c>
      <c r="O29" s="16">
        <f t="shared" si="0"/>
        <v>0</v>
      </c>
      <c r="P29" s="16">
        <f t="shared" si="1"/>
        <v>9</v>
      </c>
    </row>
    <row r="30" spans="1:16" ht="15.5" x14ac:dyDescent="0.35">
      <c r="A30" s="8" t="s">
        <v>759</v>
      </c>
      <c r="B30" s="8" t="s">
        <v>139</v>
      </c>
      <c r="C30" s="8" t="s">
        <v>140</v>
      </c>
      <c r="D30" s="9">
        <v>8248673352</v>
      </c>
      <c r="E30" s="16">
        <v>90</v>
      </c>
      <c r="F30" s="16">
        <f>_xlfn.XLOOKUP(A30,'Lab-1'!A:A,'Lab-1'!G:G,"Not Completed")</f>
        <v>100</v>
      </c>
      <c r="G30" s="16">
        <f>_xlfn.XLOOKUP(A30,'Lab-2'!A:A,'Lab-2'!H:H,"Not Completed")</f>
        <v>98</v>
      </c>
      <c r="H30" s="16">
        <f>_xlfn.XLOOKUP(A30,'Lab-3'!A:A,'Lab-3'!H:H,"Not Completed")</f>
        <v>95</v>
      </c>
      <c r="I30" s="16">
        <f>_xlfn.XLOOKUP(A30,'Lab-4'!A:A,'Lab-4'!H:H,"Not Completed")</f>
        <v>90</v>
      </c>
      <c r="J30" s="16">
        <f>_xlfn.XLOOKUP(A30,'Lab-5'!A:A,'Lab-5'!H:H,"Not Completed")</f>
        <v>95</v>
      </c>
      <c r="K30" s="16">
        <f>_xlfn.XLOOKUP(A30,'Lab-6'!A:A,'Lab-6'!G:G,"Not Completed")</f>
        <v>100</v>
      </c>
      <c r="L30" s="16">
        <f>_xlfn.XLOOKUP(A30,'Lab-7'!A:A,'Lab-7'!H:H,"Not Completed")</f>
        <v>95</v>
      </c>
      <c r="M30" s="16">
        <f>_xlfn.XLOOKUP(A30,'Lab-8'!A:A,'Lab-8'!H:H,"Not Completed")</f>
        <v>95</v>
      </c>
      <c r="N30" s="16">
        <f>_xlfn.XLOOKUP(A30,'Lab-9'!A:A,'Lab-9'!H:H,"Not Completed")</f>
        <v>90</v>
      </c>
      <c r="O30" s="16">
        <f t="shared" si="0"/>
        <v>9</v>
      </c>
      <c r="P30" s="16">
        <f t="shared" si="1"/>
        <v>0</v>
      </c>
    </row>
    <row r="31" spans="1:16" ht="15.5" x14ac:dyDescent="0.35">
      <c r="A31" s="8" t="s">
        <v>760</v>
      </c>
      <c r="B31" s="8" t="s">
        <v>99</v>
      </c>
      <c r="C31" s="8" t="s">
        <v>100</v>
      </c>
      <c r="D31" s="9">
        <v>9361192818</v>
      </c>
      <c r="E31" s="16">
        <v>92</v>
      </c>
      <c r="F31" s="16">
        <f>_xlfn.XLOOKUP(A31,'Lab-1'!A:A,'Lab-1'!G:G,"Not Completed")</f>
        <v>100</v>
      </c>
      <c r="G31" s="16">
        <f>_xlfn.XLOOKUP(A31,'Lab-2'!A:A,'Lab-2'!H:H,"Not Completed")</f>
        <v>95</v>
      </c>
      <c r="H31" s="16">
        <f>_xlfn.XLOOKUP(A31,'Lab-3'!A:A,'Lab-3'!H:H,"Not Completed")</f>
        <v>95</v>
      </c>
      <c r="I31" s="16">
        <f>_xlfn.XLOOKUP(A31,'Lab-4'!A:A,'Lab-4'!H:H,"Not Completed")</f>
        <v>95</v>
      </c>
      <c r="J31" s="16">
        <f>_xlfn.XLOOKUP(A31,'Lab-5'!A:A,'Lab-5'!H:H,"Not Completed")</f>
        <v>95</v>
      </c>
      <c r="K31" s="16">
        <f>_xlfn.XLOOKUP(A31,'Lab-6'!A:A,'Lab-6'!G:G,"Not Completed")</f>
        <v>100</v>
      </c>
      <c r="L31" s="16">
        <f>_xlfn.XLOOKUP(A31,'Lab-7'!A:A,'Lab-7'!H:H,"Not Completed")</f>
        <v>95</v>
      </c>
      <c r="M31" s="16">
        <f>_xlfn.XLOOKUP(A31,'Lab-8'!A:A,'Lab-8'!H:H,"Not Completed")</f>
        <v>95</v>
      </c>
      <c r="N31" s="16">
        <f>_xlfn.XLOOKUP(A31,'Lab-9'!A:A,'Lab-9'!H:H,"Not Completed")</f>
        <v>95</v>
      </c>
      <c r="O31" s="16">
        <f t="shared" si="0"/>
        <v>9</v>
      </c>
      <c r="P31" s="16">
        <f t="shared" si="1"/>
        <v>0</v>
      </c>
    </row>
    <row r="32" spans="1:16" ht="15.5" x14ac:dyDescent="0.35">
      <c r="A32" s="8" t="s">
        <v>761</v>
      </c>
      <c r="B32" s="8" t="s">
        <v>144</v>
      </c>
      <c r="C32" s="8" t="s">
        <v>145</v>
      </c>
      <c r="D32" s="9">
        <v>9600797512</v>
      </c>
      <c r="E32" s="16">
        <v>72</v>
      </c>
      <c r="F32" s="16">
        <f>_xlfn.XLOOKUP(A32,'Lab-1'!A:A,'Lab-1'!G:G,"Not Completed")</f>
        <v>100</v>
      </c>
      <c r="G32" s="16">
        <f>_xlfn.XLOOKUP(A32,'Lab-2'!A:A,'Lab-2'!H:H,"Not Completed")</f>
        <v>98</v>
      </c>
      <c r="H32" s="16">
        <f>_xlfn.XLOOKUP(A32,'Lab-3'!A:A,'Lab-3'!H:H,"Not Completed")</f>
        <v>90</v>
      </c>
      <c r="I32" s="16">
        <f>_xlfn.XLOOKUP(A32,'Lab-4'!A:A,'Lab-4'!H:H,"Not Completed")</f>
        <v>95</v>
      </c>
      <c r="J32" s="16">
        <f>_xlfn.XLOOKUP(A32,'Lab-5'!A:A,'Lab-5'!H:H,"Not Completed")</f>
        <v>95</v>
      </c>
      <c r="K32" s="16">
        <f>_xlfn.XLOOKUP(A32,'Lab-6'!A:A,'Lab-6'!G:G,"Not Completed")</f>
        <v>100</v>
      </c>
      <c r="L32" s="16">
        <f>_xlfn.XLOOKUP(A32,'Lab-7'!A:A,'Lab-7'!H:H,"Not Completed")</f>
        <v>96</v>
      </c>
      <c r="M32" s="16">
        <f>_xlfn.XLOOKUP(A32,'Lab-8'!A:A,'Lab-8'!H:H,"Not Completed")</f>
        <v>95</v>
      </c>
      <c r="N32" s="16">
        <f>_xlfn.XLOOKUP(A32,'Lab-9'!A:A,'Lab-9'!H:H,"Not Completed")</f>
        <v>93</v>
      </c>
      <c r="O32" s="16">
        <f t="shared" si="0"/>
        <v>9</v>
      </c>
      <c r="P32" s="16">
        <f t="shared" si="1"/>
        <v>0</v>
      </c>
    </row>
    <row r="33" spans="1:16" ht="15.5" x14ac:dyDescent="0.35">
      <c r="A33" s="8" t="s">
        <v>762</v>
      </c>
      <c r="B33" s="8" t="s">
        <v>193</v>
      </c>
      <c r="C33" s="8" t="s">
        <v>194</v>
      </c>
      <c r="D33" s="9">
        <v>9585575633</v>
      </c>
      <c r="E33" s="16">
        <v>80</v>
      </c>
      <c r="F33" s="16">
        <f>_xlfn.XLOOKUP(A33,'Lab-1'!A:A,'Lab-1'!G:G,"Not Completed")</f>
        <v>100</v>
      </c>
      <c r="G33" s="16">
        <f>_xlfn.XLOOKUP(A33,'Lab-2'!A:A,'Lab-2'!H:H,"Not Completed")</f>
        <v>98</v>
      </c>
      <c r="H33" s="16">
        <f>_xlfn.XLOOKUP(A33,'Lab-3'!A:A,'Lab-3'!H:H,"Not Completed")</f>
        <v>90</v>
      </c>
      <c r="I33" s="16">
        <f>_xlfn.XLOOKUP(A33,'Lab-4'!A:A,'Lab-4'!H:H,"Not Completed")</f>
        <v>95</v>
      </c>
      <c r="J33" s="16">
        <f>_xlfn.XLOOKUP(A33,'Lab-5'!A:A,'Lab-5'!H:H,"Not Completed")</f>
        <v>95</v>
      </c>
      <c r="K33" s="16">
        <f>_xlfn.XLOOKUP(A33,'Lab-6'!A:A,'Lab-6'!G:G,"Not Completed")</f>
        <v>100</v>
      </c>
      <c r="L33" s="16" t="str">
        <f>_xlfn.XLOOKUP(A33,'Lab-7'!A:A,'Lab-7'!H:H,"Not Completed")</f>
        <v>Not Completed</v>
      </c>
      <c r="M33" s="16">
        <f>_xlfn.XLOOKUP(A33,'Lab-8'!A:A,'Lab-8'!H:H,"Not Completed")</f>
        <v>95</v>
      </c>
      <c r="N33" s="16" t="str">
        <f>_xlfn.XLOOKUP(A33,'Lab-9'!A:A,'Lab-9'!H:H,"Not Completed")</f>
        <v>Not Completed</v>
      </c>
      <c r="O33" s="16">
        <f t="shared" si="0"/>
        <v>7</v>
      </c>
      <c r="P33" s="16">
        <f t="shared" si="1"/>
        <v>2</v>
      </c>
    </row>
    <row r="34" spans="1:16" ht="15.5" x14ac:dyDescent="0.35">
      <c r="A34" s="8" t="s">
        <v>763</v>
      </c>
      <c r="B34" s="8" t="s">
        <v>78</v>
      </c>
      <c r="C34" s="8" t="s">
        <v>79</v>
      </c>
      <c r="D34" s="9">
        <v>8122884357</v>
      </c>
      <c r="E34" s="16">
        <v>83</v>
      </c>
      <c r="F34" s="16">
        <f>_xlfn.XLOOKUP(A34,'Lab-1'!A:A,'Lab-1'!G:G,"Not Completed")</f>
        <v>100</v>
      </c>
      <c r="G34" s="16">
        <f>_xlfn.XLOOKUP(A34,'Lab-2'!A:A,'Lab-2'!H:H,"Not Completed")</f>
        <v>96</v>
      </c>
      <c r="H34" s="16">
        <f>_xlfn.XLOOKUP(A34,'Lab-3'!A:A,'Lab-3'!H:H,"Not Completed")</f>
        <v>80</v>
      </c>
      <c r="I34" s="16">
        <f>_xlfn.XLOOKUP(A34,'Lab-4'!A:A,'Lab-4'!H:H,"Not Completed")</f>
        <v>95</v>
      </c>
      <c r="J34" s="16">
        <f>_xlfn.XLOOKUP(A34,'Lab-5'!A:A,'Lab-5'!H:H,"Not Completed")</f>
        <v>95</v>
      </c>
      <c r="K34" s="16">
        <f>_xlfn.XLOOKUP(A34,'Lab-6'!A:A,'Lab-6'!G:G,"Not Completed")</f>
        <v>100</v>
      </c>
      <c r="L34" s="16">
        <f>_xlfn.XLOOKUP(A34,'Lab-7'!A:A,'Lab-7'!H:H,"Not Completed")</f>
        <v>90</v>
      </c>
      <c r="M34" s="16">
        <f>_xlfn.XLOOKUP(A34,'Lab-8'!A:A,'Lab-8'!H:H,"Not Completed")</f>
        <v>95</v>
      </c>
      <c r="N34" s="16">
        <f>_xlfn.XLOOKUP(A34,'Lab-9'!A:A,'Lab-9'!H:H,"Not Completed")</f>
        <v>95</v>
      </c>
      <c r="O34" s="16">
        <f t="shared" si="0"/>
        <v>9</v>
      </c>
      <c r="P34" s="16">
        <f t="shared" si="1"/>
        <v>0</v>
      </c>
    </row>
    <row r="35" spans="1:16" ht="15.5" x14ac:dyDescent="0.35">
      <c r="A35" s="8" t="s">
        <v>764</v>
      </c>
      <c r="B35" s="8" t="s">
        <v>45</v>
      </c>
      <c r="C35" s="8" t="s">
        <v>46</v>
      </c>
      <c r="D35" s="9">
        <v>7395843655</v>
      </c>
      <c r="E35" s="16">
        <v>92</v>
      </c>
      <c r="F35" s="16">
        <f>_xlfn.XLOOKUP(A35,'Lab-1'!A:A,'Lab-1'!G:G,"Not Completed")</f>
        <v>100</v>
      </c>
      <c r="G35" s="16">
        <f>_xlfn.XLOOKUP(A35,'Lab-2'!A:A,'Lab-2'!H:H,"Not Completed")</f>
        <v>96</v>
      </c>
      <c r="H35" s="16">
        <f>_xlfn.XLOOKUP(A35,'Lab-3'!A:A,'Lab-3'!H:H,"Not Completed")</f>
        <v>96</v>
      </c>
      <c r="I35" s="16">
        <f>_xlfn.XLOOKUP(A35,'Lab-4'!A:A,'Lab-4'!H:H,"Not Completed")</f>
        <v>96</v>
      </c>
      <c r="J35" s="16">
        <f>_xlfn.XLOOKUP(A35,'Lab-5'!A:A,'Lab-5'!H:H,"Not Completed")</f>
        <v>95</v>
      </c>
      <c r="K35" s="16">
        <f>_xlfn.XLOOKUP(A35,'Lab-6'!A:A,'Lab-6'!G:G,"Not Completed")</f>
        <v>100</v>
      </c>
      <c r="L35" s="16">
        <f>_xlfn.XLOOKUP(A35,'Lab-7'!A:A,'Lab-7'!H:H,"Not Completed")</f>
        <v>96</v>
      </c>
      <c r="M35" s="16">
        <f>_xlfn.XLOOKUP(A35,'Lab-8'!A:A,'Lab-8'!H:H,"Not Completed")</f>
        <v>95</v>
      </c>
      <c r="N35" s="16">
        <f>_xlfn.XLOOKUP(A35,'Lab-9'!A:A,'Lab-9'!H:H,"Not Completed")</f>
        <v>85</v>
      </c>
      <c r="O35" s="16">
        <f t="shared" si="0"/>
        <v>9</v>
      </c>
      <c r="P35" s="16">
        <f t="shared" si="1"/>
        <v>0</v>
      </c>
    </row>
    <row r="36" spans="1:16" ht="15.5" x14ac:dyDescent="0.35">
      <c r="A36" s="8" t="s">
        <v>765</v>
      </c>
      <c r="B36" s="8" t="s">
        <v>50</v>
      </c>
      <c r="C36" s="8" t="s">
        <v>51</v>
      </c>
      <c r="D36" s="9">
        <v>9976670874</v>
      </c>
      <c r="E36" s="16">
        <v>88</v>
      </c>
      <c r="F36" s="16">
        <f>_xlfn.XLOOKUP(A36,'Lab-1'!A:A,'Lab-1'!G:G,"Not Completed")</f>
        <v>100</v>
      </c>
      <c r="G36" s="16">
        <f>_xlfn.XLOOKUP(A36,'Lab-2'!A:A,'Lab-2'!H:H,"Not Completed")</f>
        <v>98</v>
      </c>
      <c r="H36" s="16">
        <f>_xlfn.XLOOKUP(A36,'Lab-3'!A:A,'Lab-3'!H:H,"Not Completed")</f>
        <v>95</v>
      </c>
      <c r="I36" s="16">
        <f>_xlfn.XLOOKUP(A36,'Lab-4'!A:A,'Lab-4'!H:H,"Not Completed")</f>
        <v>95</v>
      </c>
      <c r="J36" s="16">
        <f>_xlfn.XLOOKUP(A36,'Lab-5'!A:A,'Lab-5'!H:H,"Not Completed")</f>
        <v>95</v>
      </c>
      <c r="K36" s="16">
        <f>_xlfn.XLOOKUP(A36,'Lab-6'!A:A,'Lab-6'!G:G,"Not Completed")</f>
        <v>100</v>
      </c>
      <c r="L36" s="16">
        <f>_xlfn.XLOOKUP(A36,'Lab-7'!A:A,'Lab-7'!H:H,"Not Completed")</f>
        <v>96</v>
      </c>
      <c r="M36" s="16">
        <f>_xlfn.XLOOKUP(A36,'Lab-8'!A:A,'Lab-8'!H:H,"Not Completed")</f>
        <v>95</v>
      </c>
      <c r="N36" s="16">
        <f>_xlfn.XLOOKUP(A36,'Lab-9'!A:A,'Lab-9'!H:H,"Not Completed")</f>
        <v>90</v>
      </c>
      <c r="O36" s="16">
        <f t="shared" si="0"/>
        <v>9</v>
      </c>
      <c r="P36" s="16">
        <f t="shared" si="1"/>
        <v>0</v>
      </c>
    </row>
    <row r="37" spans="1:16" ht="15.5" x14ac:dyDescent="0.35">
      <c r="A37" s="8" t="s">
        <v>766</v>
      </c>
      <c r="B37" s="8" t="s">
        <v>218</v>
      </c>
      <c r="C37" s="8" t="s">
        <v>219</v>
      </c>
      <c r="D37" s="9">
        <v>9840656793</v>
      </c>
      <c r="E37" s="16">
        <v>51</v>
      </c>
      <c r="F37" s="16" t="str">
        <f>_xlfn.XLOOKUP(A37,'Lab-1'!A:A,'Lab-1'!G:G,"Not Completed")</f>
        <v>Not Completed</v>
      </c>
      <c r="G37" s="16" t="str">
        <f>_xlfn.XLOOKUP(A37,'Lab-2'!A:A,'Lab-2'!H:H,"Not Completed")</f>
        <v>Not Completed</v>
      </c>
      <c r="H37" s="16" t="str">
        <f>_xlfn.XLOOKUP(A37,'Lab-3'!A:A,'Lab-3'!H:H,"Not Completed")</f>
        <v>Not Completed</v>
      </c>
      <c r="I37" s="16" t="str">
        <f>_xlfn.XLOOKUP(A37,'Lab-4'!A:A,'Lab-4'!H:H,"Not Completed")</f>
        <v>Not Completed</v>
      </c>
      <c r="J37" s="16" t="str">
        <f>_xlfn.XLOOKUP(A37,'Lab-5'!A:A,'Lab-5'!H:H,"Not Completed")</f>
        <v>Not Completed</v>
      </c>
      <c r="K37" s="16" t="str">
        <f>_xlfn.XLOOKUP(A37,'Lab-6'!A:A,'Lab-6'!G:G,"Not Completed")</f>
        <v>Not Completed</v>
      </c>
      <c r="L37" s="16" t="str">
        <f>_xlfn.XLOOKUP(A37,'Lab-7'!A:A,'Lab-7'!H:H,"Not Completed")</f>
        <v>Not Completed</v>
      </c>
      <c r="M37" s="16">
        <f>_xlfn.XLOOKUP(A37,'Lab-8'!A:A,'Lab-8'!H:H,"Not Completed")</f>
        <v>95</v>
      </c>
      <c r="N37" s="16" t="str">
        <f>_xlfn.XLOOKUP(A37,'Lab-9'!A:A,'Lab-9'!H:H,"Not Completed")</f>
        <v>Not Completed</v>
      </c>
      <c r="O37" s="16">
        <f t="shared" si="0"/>
        <v>1</v>
      </c>
      <c r="P37" s="16">
        <f t="shared" si="1"/>
        <v>8</v>
      </c>
    </row>
    <row r="38" spans="1:16" ht="15.5" x14ac:dyDescent="0.35">
      <c r="A38" s="8" t="s">
        <v>767</v>
      </c>
      <c r="B38" s="8" t="s">
        <v>768</v>
      </c>
      <c r="C38" s="8" t="s">
        <v>769</v>
      </c>
      <c r="D38" s="9">
        <v>6374667393</v>
      </c>
      <c r="E38" s="16">
        <v>48</v>
      </c>
      <c r="F38" s="16" t="str">
        <f>_xlfn.XLOOKUP(A38,'Lab-1'!A:A,'Lab-1'!G:G,"Not Completed")</f>
        <v>Not Completed</v>
      </c>
      <c r="G38" s="16" t="str">
        <f>_xlfn.XLOOKUP(A38,'Lab-2'!A:A,'Lab-2'!H:H,"Not Completed")</f>
        <v>Not Completed</v>
      </c>
      <c r="H38" s="16" t="str">
        <f>_xlfn.XLOOKUP(A38,'Lab-3'!A:A,'Lab-3'!H:H,"Not Completed")</f>
        <v>Not Completed</v>
      </c>
      <c r="I38" s="16" t="str">
        <f>_xlfn.XLOOKUP(A38,'Lab-4'!A:A,'Lab-4'!H:H,"Not Completed")</f>
        <v>Not Completed</v>
      </c>
      <c r="J38" s="16" t="str">
        <f>_xlfn.XLOOKUP(A38,'Lab-5'!A:A,'Lab-5'!H:H,"Not Completed")</f>
        <v>Not Completed</v>
      </c>
      <c r="K38" s="16" t="str">
        <f>_xlfn.XLOOKUP(A38,'Lab-6'!A:A,'Lab-6'!G:G,"Not Completed")</f>
        <v>Not Completed</v>
      </c>
      <c r="L38" s="16" t="str">
        <f>_xlfn.XLOOKUP(A38,'Lab-7'!A:A,'Lab-7'!H:H,"Not Completed")</f>
        <v>Not Completed</v>
      </c>
      <c r="M38" s="16" t="str">
        <f>_xlfn.XLOOKUP(A38,'Lab-8'!A:A,'Lab-8'!H:H,"Not Completed")</f>
        <v>Not Completed</v>
      </c>
      <c r="N38" s="16" t="str">
        <f>_xlfn.XLOOKUP(A38,'Lab-9'!A:A,'Lab-9'!H:H,"Not Completed")</f>
        <v>Not Completed</v>
      </c>
      <c r="O38" s="16">
        <f t="shared" si="0"/>
        <v>0</v>
      </c>
      <c r="P38" s="16">
        <f t="shared" si="1"/>
        <v>9</v>
      </c>
    </row>
    <row r="39" spans="1:16" ht="15.5" x14ac:dyDescent="0.35">
      <c r="A39" s="8" t="s">
        <v>770</v>
      </c>
      <c r="B39" s="8" t="s">
        <v>771</v>
      </c>
      <c r="C39" s="8" t="s">
        <v>772</v>
      </c>
      <c r="D39" s="9">
        <v>9840442079</v>
      </c>
      <c r="E39" s="16">
        <v>17</v>
      </c>
      <c r="F39" s="16" t="str">
        <f>_xlfn.XLOOKUP(A39,'Lab-1'!A:A,'Lab-1'!G:G,"Not Completed")</f>
        <v>Not Completed</v>
      </c>
      <c r="G39" s="16" t="str">
        <f>_xlfn.XLOOKUP(A39,'Lab-2'!A:A,'Lab-2'!H:H,"Not Completed")</f>
        <v>Not Completed</v>
      </c>
      <c r="H39" s="16" t="str">
        <f>_xlfn.XLOOKUP(A39,'Lab-3'!A:A,'Lab-3'!H:H,"Not Completed")</f>
        <v>Not Completed</v>
      </c>
      <c r="I39" s="16" t="str">
        <f>_xlfn.XLOOKUP(A39,'Lab-4'!A:A,'Lab-4'!H:H,"Not Completed")</f>
        <v>Not Completed</v>
      </c>
      <c r="J39" s="16" t="str">
        <f>_xlfn.XLOOKUP(A39,'Lab-5'!A:A,'Lab-5'!H:H,"Not Completed")</f>
        <v>Not Completed</v>
      </c>
      <c r="K39" s="16" t="str">
        <f>_xlfn.XLOOKUP(A39,'Lab-6'!A:A,'Lab-6'!G:G,"Not Completed")</f>
        <v>Not Completed</v>
      </c>
      <c r="L39" s="16" t="str">
        <f>_xlfn.XLOOKUP(A39,'Lab-7'!A:A,'Lab-7'!H:H,"Not Completed")</f>
        <v>Not Completed</v>
      </c>
      <c r="M39" s="16" t="str">
        <f>_xlfn.XLOOKUP(A39,'Lab-8'!A:A,'Lab-8'!H:H,"Not Completed")</f>
        <v>Not Completed</v>
      </c>
      <c r="N39" s="16" t="str">
        <f>_xlfn.XLOOKUP(A39,'Lab-9'!A:A,'Lab-9'!H:H,"Not Completed")</f>
        <v>Not Completed</v>
      </c>
      <c r="O39" s="16">
        <f t="shared" si="0"/>
        <v>0</v>
      </c>
      <c r="P39" s="16">
        <f t="shared" si="1"/>
        <v>9</v>
      </c>
    </row>
    <row r="40" spans="1:16" ht="15.5" x14ac:dyDescent="0.35">
      <c r="A40" s="8" t="s">
        <v>773</v>
      </c>
      <c r="B40" s="8" t="s">
        <v>774</v>
      </c>
      <c r="C40" s="8" t="s">
        <v>775</v>
      </c>
      <c r="D40" s="9">
        <v>7639837147</v>
      </c>
      <c r="E40" s="16">
        <v>36</v>
      </c>
      <c r="F40" s="16" t="str">
        <f>_xlfn.XLOOKUP(A40,'Lab-1'!A:A,'Lab-1'!G:G,"Not Completed")</f>
        <v>Not Completed</v>
      </c>
      <c r="G40" s="16" t="str">
        <f>_xlfn.XLOOKUP(A40,'Lab-2'!A:A,'Lab-2'!H:H,"Not Completed")</f>
        <v>Not Completed</v>
      </c>
      <c r="H40" s="16" t="str">
        <f>_xlfn.XLOOKUP(A40,'Lab-3'!A:A,'Lab-3'!H:H,"Not Completed")</f>
        <v>Not Completed</v>
      </c>
      <c r="I40" s="16" t="str">
        <f>_xlfn.XLOOKUP(A40,'Lab-4'!A:A,'Lab-4'!H:H,"Not Completed")</f>
        <v>Not Completed</v>
      </c>
      <c r="J40" s="16" t="str">
        <f>_xlfn.XLOOKUP(A40,'Lab-5'!A:A,'Lab-5'!H:H,"Not Completed")</f>
        <v>Not Completed</v>
      </c>
      <c r="K40" s="16" t="str">
        <f>_xlfn.XLOOKUP(A40,'Lab-6'!A:A,'Lab-6'!G:G,"Not Completed")</f>
        <v>Not Completed</v>
      </c>
      <c r="L40" s="16" t="str">
        <f>_xlfn.XLOOKUP(A40,'Lab-7'!A:A,'Lab-7'!H:H,"Not Completed")</f>
        <v>Not Completed</v>
      </c>
      <c r="M40" s="16" t="str">
        <f>_xlfn.XLOOKUP(A40,'Lab-8'!A:A,'Lab-8'!H:H,"Not Completed")</f>
        <v>Not Completed</v>
      </c>
      <c r="N40" s="16" t="str">
        <f>_xlfn.XLOOKUP(A40,'Lab-9'!A:A,'Lab-9'!H:H,"Not Completed")</f>
        <v>Not Completed</v>
      </c>
      <c r="O40" s="16">
        <f t="shared" si="0"/>
        <v>0</v>
      </c>
      <c r="P40" s="16">
        <f t="shared" si="1"/>
        <v>9</v>
      </c>
    </row>
    <row r="41" spans="1:16" ht="15.5" x14ac:dyDescent="0.35">
      <c r="A41" s="8" t="s">
        <v>776</v>
      </c>
      <c r="B41" s="8" t="s">
        <v>148</v>
      </c>
      <c r="C41" s="8" t="s">
        <v>149</v>
      </c>
      <c r="D41" s="9">
        <v>9047730537</v>
      </c>
      <c r="E41" s="16">
        <v>62</v>
      </c>
      <c r="F41" s="16">
        <f>_xlfn.XLOOKUP(A41,'Lab-1'!A:A,'Lab-1'!G:G,"Not Completed")</f>
        <v>100</v>
      </c>
      <c r="G41" s="16">
        <f>_xlfn.XLOOKUP(A41,'Lab-2'!A:A,'Lab-2'!H:H,"Not Completed")</f>
        <v>98</v>
      </c>
      <c r="H41" s="16">
        <f>_xlfn.XLOOKUP(A41,'Lab-3'!A:A,'Lab-3'!H:H,"Not Completed")</f>
        <v>95</v>
      </c>
      <c r="I41" s="16">
        <f>_xlfn.XLOOKUP(A41,'Lab-4'!A:A,'Lab-4'!H:H,"Not Completed")</f>
        <v>95</v>
      </c>
      <c r="J41" s="16">
        <f>_xlfn.XLOOKUP(A41,'Lab-5'!A:A,'Lab-5'!H:H,"Not Completed")</f>
        <v>95</v>
      </c>
      <c r="K41" s="16">
        <f>_xlfn.XLOOKUP(A41,'Lab-6'!A:A,'Lab-6'!G:G,"Not Completed")</f>
        <v>100</v>
      </c>
      <c r="L41" s="16">
        <f>_xlfn.XLOOKUP(A41,'Lab-7'!A:A,'Lab-7'!H:H,"Not Completed")</f>
        <v>90</v>
      </c>
      <c r="M41" s="16">
        <f>_xlfn.XLOOKUP(A41,'Lab-8'!A:A,'Lab-8'!H:H,"Not Completed")</f>
        <v>95</v>
      </c>
      <c r="N41" s="16">
        <f>_xlfn.XLOOKUP(A41,'Lab-9'!A:A,'Lab-9'!H:H,"Not Completed")</f>
        <v>93</v>
      </c>
      <c r="O41" s="16">
        <f t="shared" si="0"/>
        <v>9</v>
      </c>
      <c r="P41" s="16">
        <f t="shared" si="1"/>
        <v>0</v>
      </c>
    </row>
    <row r="42" spans="1:16" ht="15.5" x14ac:dyDescent="0.35">
      <c r="A42" s="8" t="s">
        <v>777</v>
      </c>
      <c r="B42" s="8" t="s">
        <v>778</v>
      </c>
      <c r="C42" s="8" t="s">
        <v>779</v>
      </c>
      <c r="D42" s="9">
        <v>9994712446</v>
      </c>
      <c r="E42" s="16">
        <v>20</v>
      </c>
      <c r="F42" s="16" t="str">
        <f>_xlfn.XLOOKUP(A42,'Lab-1'!A:A,'Lab-1'!G:G,"Not Completed")</f>
        <v>Not Completed</v>
      </c>
      <c r="G42" s="16" t="str">
        <f>_xlfn.XLOOKUP(A42,'Lab-2'!A:A,'Lab-2'!H:H,"Not Completed")</f>
        <v>Not Completed</v>
      </c>
      <c r="H42" s="16" t="str">
        <f>_xlfn.XLOOKUP(A42,'Lab-3'!A:A,'Lab-3'!H:H,"Not Completed")</f>
        <v>Not Completed</v>
      </c>
      <c r="I42" s="16" t="str">
        <f>_xlfn.XLOOKUP(A42,'Lab-4'!A:A,'Lab-4'!H:H,"Not Completed")</f>
        <v>Not Completed</v>
      </c>
      <c r="J42" s="16" t="str">
        <f>_xlfn.XLOOKUP(A42,'Lab-5'!A:A,'Lab-5'!H:H,"Not Completed")</f>
        <v>Not Completed</v>
      </c>
      <c r="K42" s="16" t="str">
        <f>_xlfn.XLOOKUP(A42,'Lab-6'!A:A,'Lab-6'!G:G,"Not Completed")</f>
        <v>Not Completed</v>
      </c>
      <c r="L42" s="16" t="str">
        <f>_xlfn.XLOOKUP(A42,'Lab-7'!A:A,'Lab-7'!H:H,"Not Completed")</f>
        <v>Not Completed</v>
      </c>
      <c r="M42" s="16" t="str">
        <f>_xlfn.XLOOKUP(A42,'Lab-8'!A:A,'Lab-8'!H:H,"Not Completed")</f>
        <v>Not Completed</v>
      </c>
      <c r="N42" s="16" t="str">
        <f>_xlfn.XLOOKUP(A42,'Lab-9'!A:A,'Lab-9'!H:H,"Not Completed")</f>
        <v>Not Completed</v>
      </c>
      <c r="O42" s="16">
        <f t="shared" si="0"/>
        <v>0</v>
      </c>
      <c r="P42" s="16">
        <f t="shared" si="1"/>
        <v>9</v>
      </c>
    </row>
    <row r="43" spans="1:16" ht="15.5" x14ac:dyDescent="0.35">
      <c r="A43" s="8" t="s">
        <v>780</v>
      </c>
      <c r="B43" s="8" t="s">
        <v>14</v>
      </c>
      <c r="C43" s="8" t="s">
        <v>15</v>
      </c>
      <c r="D43" s="9">
        <v>6381358811</v>
      </c>
      <c r="E43" s="16">
        <v>73</v>
      </c>
      <c r="F43" s="16" t="str">
        <f>_xlfn.XLOOKUP(A43,'Lab-1'!A:A,'Lab-1'!G:G,"Not Completed")</f>
        <v>Not Completed</v>
      </c>
      <c r="G43" s="16" t="str">
        <f>_xlfn.XLOOKUP(A43,'Lab-2'!A:A,'Lab-2'!H:H,"Not Completed")</f>
        <v>Not Completed</v>
      </c>
      <c r="H43" s="16" t="str">
        <f>_xlfn.XLOOKUP(A43,'Lab-3'!A:A,'Lab-3'!H:H,"Not Completed")</f>
        <v>Not Completed</v>
      </c>
      <c r="I43" s="16" t="str">
        <f>_xlfn.XLOOKUP(A43,'Lab-4'!A:A,'Lab-4'!H:H,"Not Completed")</f>
        <v>Not Completed</v>
      </c>
      <c r="J43" s="16" t="str">
        <f>_xlfn.XLOOKUP(A43,'Lab-5'!A:A,'Lab-5'!H:H,"Not Completed")</f>
        <v>Not Completed</v>
      </c>
      <c r="K43" s="16" t="str">
        <f>_xlfn.XLOOKUP(A43,'Lab-6'!A:A,'Lab-6'!G:G,"Not Completed")</f>
        <v>Not Completed</v>
      </c>
      <c r="L43" s="16" t="str">
        <f>_xlfn.XLOOKUP(A43,'Lab-7'!A:A,'Lab-7'!H:H,"Not Completed")</f>
        <v>Not Completed</v>
      </c>
      <c r="M43" s="16" t="str">
        <f>_xlfn.XLOOKUP(A43,'Lab-8'!A:A,'Lab-8'!H:H,"Not Completed")</f>
        <v>Not Completed</v>
      </c>
      <c r="N43" s="16">
        <f>_xlfn.XLOOKUP(A43,'Lab-9'!A:A,'Lab-9'!H:H,"Not Completed")</f>
        <v>80</v>
      </c>
      <c r="O43" s="16">
        <f t="shared" si="0"/>
        <v>1</v>
      </c>
      <c r="P43" s="16">
        <f t="shared" si="1"/>
        <v>8</v>
      </c>
    </row>
    <row r="44" spans="1:16" ht="15.5" x14ac:dyDescent="0.35">
      <c r="A44" s="8" t="s">
        <v>781</v>
      </c>
      <c r="B44" s="8" t="s">
        <v>109</v>
      </c>
      <c r="C44" s="8" t="s">
        <v>110</v>
      </c>
      <c r="D44" s="9">
        <v>9042699011</v>
      </c>
      <c r="E44" s="16">
        <v>80</v>
      </c>
      <c r="F44" s="16">
        <f>_xlfn.XLOOKUP(A44,'Lab-1'!A:A,'Lab-1'!G:G,"Not Completed")</f>
        <v>100</v>
      </c>
      <c r="G44" s="16">
        <f>_xlfn.XLOOKUP(A44,'Lab-2'!A:A,'Lab-2'!H:H,"Not Completed")</f>
        <v>90</v>
      </c>
      <c r="H44" s="16">
        <f>_xlfn.XLOOKUP(A44,'Lab-3'!A:A,'Lab-3'!H:H,"Not Completed")</f>
        <v>90</v>
      </c>
      <c r="I44" s="16">
        <f>_xlfn.XLOOKUP(A44,'Lab-4'!A:A,'Lab-4'!H:H,"Not Completed")</f>
        <v>95</v>
      </c>
      <c r="J44" s="16">
        <f>_xlfn.XLOOKUP(A44,'Lab-5'!A:A,'Lab-5'!H:H,"Not Completed")</f>
        <v>95</v>
      </c>
      <c r="K44" s="16">
        <f>_xlfn.XLOOKUP(A44,'Lab-6'!A:A,'Lab-6'!G:G,"Not Completed")</f>
        <v>100</v>
      </c>
      <c r="L44" s="16">
        <f>_xlfn.XLOOKUP(A44,'Lab-7'!A:A,'Lab-7'!H:H,"Not Completed")</f>
        <v>94</v>
      </c>
      <c r="M44" s="16">
        <f>_xlfn.XLOOKUP(A44,'Lab-8'!A:A,'Lab-8'!H:H,"Not Completed")</f>
        <v>95</v>
      </c>
      <c r="N44" s="16">
        <f>_xlfn.XLOOKUP(A44,'Lab-9'!A:A,'Lab-9'!H:H,"Not Completed")</f>
        <v>90</v>
      </c>
      <c r="O44" s="16">
        <f t="shared" si="0"/>
        <v>9</v>
      </c>
      <c r="P44" s="16">
        <f t="shared" si="1"/>
        <v>0</v>
      </c>
    </row>
    <row r="45" spans="1:16" ht="15.5" x14ac:dyDescent="0.35">
      <c r="A45" s="8" t="s">
        <v>782</v>
      </c>
      <c r="B45" s="8" t="s">
        <v>783</v>
      </c>
      <c r="C45" s="10" t="s">
        <v>784</v>
      </c>
      <c r="D45" s="11">
        <v>9080440565</v>
      </c>
      <c r="E45" s="16">
        <v>36</v>
      </c>
      <c r="F45" s="16" t="str">
        <f>_xlfn.XLOOKUP(A45,'Lab-1'!A:A,'Lab-1'!G:G,"Not Completed")</f>
        <v>Not Completed</v>
      </c>
      <c r="G45" s="16" t="str">
        <f>_xlfn.XLOOKUP(A45,'Lab-2'!A:A,'Lab-2'!H:H,"Not Completed")</f>
        <v>Not Completed</v>
      </c>
      <c r="H45" s="16" t="str">
        <f>_xlfn.XLOOKUP(A45,'Lab-3'!A:A,'Lab-3'!H:H,"Not Completed")</f>
        <v>Not Completed</v>
      </c>
      <c r="I45" s="16" t="str">
        <f>_xlfn.XLOOKUP(A45,'Lab-4'!A:A,'Lab-4'!H:H,"Not Completed")</f>
        <v>Not Completed</v>
      </c>
      <c r="J45" s="16" t="str">
        <f>_xlfn.XLOOKUP(A45,'Lab-5'!A:A,'Lab-5'!H:H,"Not Completed")</f>
        <v>Not Completed</v>
      </c>
      <c r="K45" s="16" t="str">
        <f>_xlfn.XLOOKUP(A45,'Lab-6'!A:A,'Lab-6'!G:G,"Not Completed")</f>
        <v>Not Completed</v>
      </c>
      <c r="L45" s="16" t="str">
        <f>_xlfn.XLOOKUP(A45,'Lab-7'!A:A,'Lab-7'!H:H,"Not Completed")</f>
        <v>Not Completed</v>
      </c>
      <c r="M45" s="16" t="str">
        <f>_xlfn.XLOOKUP(A45,'Lab-8'!A:A,'Lab-8'!H:H,"Not Completed")</f>
        <v>Not Completed</v>
      </c>
      <c r="N45" s="16" t="str">
        <f>_xlfn.XLOOKUP(A45,'Lab-9'!A:A,'Lab-9'!H:H,"Not Completed")</f>
        <v>Not Completed</v>
      </c>
      <c r="O45" s="16">
        <f t="shared" si="0"/>
        <v>0</v>
      </c>
      <c r="P45" s="16">
        <f t="shared" si="1"/>
        <v>9</v>
      </c>
    </row>
    <row r="46" spans="1:16" ht="15.5" x14ac:dyDescent="0.35">
      <c r="A46" s="8" t="s">
        <v>785</v>
      </c>
      <c r="B46" s="8" t="s">
        <v>786</v>
      </c>
      <c r="C46" s="10" t="s">
        <v>787</v>
      </c>
      <c r="D46" s="11">
        <v>7550375297</v>
      </c>
      <c r="E46" s="16">
        <v>14</v>
      </c>
      <c r="F46" s="16" t="str">
        <f>_xlfn.XLOOKUP(A46,'Lab-1'!A:A,'Lab-1'!G:G,"Not Completed")</f>
        <v>Not Completed</v>
      </c>
      <c r="G46" s="16" t="str">
        <f>_xlfn.XLOOKUP(A46,'Lab-2'!A:A,'Lab-2'!H:H,"Not Completed")</f>
        <v>Not Completed</v>
      </c>
      <c r="H46" s="16" t="str">
        <f>_xlfn.XLOOKUP(A46,'Lab-3'!A:A,'Lab-3'!H:H,"Not Completed")</f>
        <v>Not Completed</v>
      </c>
      <c r="I46" s="16" t="str">
        <f>_xlfn.XLOOKUP(A46,'Lab-4'!A:A,'Lab-4'!H:H,"Not Completed")</f>
        <v>Not Completed</v>
      </c>
      <c r="J46" s="16" t="str">
        <f>_xlfn.XLOOKUP(A46,'Lab-5'!A:A,'Lab-5'!H:H,"Not Completed")</f>
        <v>Not Completed</v>
      </c>
      <c r="K46" s="16" t="str">
        <f>_xlfn.XLOOKUP(A46,'Lab-6'!A:A,'Lab-6'!G:G,"Not Completed")</f>
        <v>Not Completed</v>
      </c>
      <c r="L46" s="16" t="str">
        <f>_xlfn.XLOOKUP(A46,'Lab-7'!A:A,'Lab-7'!H:H,"Not Completed")</f>
        <v>Not Completed</v>
      </c>
      <c r="M46" s="16" t="str">
        <f>_xlfn.XLOOKUP(A46,'Lab-8'!A:A,'Lab-8'!H:H,"Not Completed")</f>
        <v>Not Completed</v>
      </c>
      <c r="N46" s="16" t="str">
        <f>_xlfn.XLOOKUP(A46,'Lab-9'!A:A,'Lab-9'!H:H,"Not Completed")</f>
        <v>Not Completed</v>
      </c>
      <c r="O46" s="16">
        <f t="shared" si="0"/>
        <v>0</v>
      </c>
      <c r="P46" s="16">
        <f t="shared" si="1"/>
        <v>9</v>
      </c>
    </row>
    <row r="47" spans="1:16" x14ac:dyDescent="0.35">
      <c r="A47" s="16" t="s">
        <v>789</v>
      </c>
      <c r="B47" s="16" t="s">
        <v>35</v>
      </c>
      <c r="C47" s="16"/>
      <c r="D47" s="16"/>
      <c r="E47">
        <v>50</v>
      </c>
      <c r="F47" s="16" t="str">
        <f>_xlfn.XLOOKUP(A47,'Lab-1'!A:A,'Lab-1'!G:G,"Not Completed")</f>
        <v>Not Completed</v>
      </c>
      <c r="G47" s="16" t="str">
        <f>_xlfn.XLOOKUP(A47,'Lab-2'!A:A,'Lab-2'!H:H,"Not Completed")</f>
        <v>Not Completed</v>
      </c>
      <c r="H47" s="16" t="str">
        <f>_xlfn.XLOOKUP(A47,'Lab-3'!A:A,'Lab-3'!H:H,"Not Completed")</f>
        <v>Not Completed</v>
      </c>
      <c r="I47" s="16" t="str">
        <f>_xlfn.XLOOKUP(A47,'Lab-4'!A:A,'Lab-4'!H:H,"Not Completed")</f>
        <v>Not Completed</v>
      </c>
      <c r="J47" s="16" t="str">
        <f>_xlfn.XLOOKUP(A47,'Lab-5'!A:A,'Lab-5'!H:H,"Not Completed")</f>
        <v>Not Completed</v>
      </c>
      <c r="K47" s="16" t="str">
        <f>_xlfn.XLOOKUP(A47,'Lab-6'!A:A,'Lab-6'!G:G,"Not Completed")</f>
        <v>Not Completed</v>
      </c>
      <c r="L47" s="16" t="str">
        <f>_xlfn.XLOOKUP(A47,'Lab-7'!A:A,'Lab-7'!H:H,"Not Completed")</f>
        <v>Not Completed</v>
      </c>
      <c r="M47" s="16">
        <f>_xlfn.XLOOKUP(A47,'Lab-8'!A:A,'Lab-8'!H:H,"Not Completed")</f>
        <v>95</v>
      </c>
      <c r="N47" s="16">
        <f>_xlfn.XLOOKUP(A47,'Lab-9'!A:A,'Lab-9'!H:H,"Not Completed")</f>
        <v>80</v>
      </c>
      <c r="O47" s="16">
        <f t="shared" si="0"/>
        <v>2</v>
      </c>
      <c r="P47" s="16">
        <f t="shared" si="1"/>
        <v>7</v>
      </c>
    </row>
    <row r="48" spans="1:16" x14ac:dyDescent="0.35">
      <c r="E48" s="16"/>
    </row>
  </sheetData>
  <autoFilter ref="A1:P47" xr:uid="{0A284110-5D03-4D12-824F-96A3A09822B0}"/>
  <phoneticPr fontId="8" type="noConversion"/>
  <conditionalFormatting sqref="A1:A1048576">
    <cfRule type="duplicateValues" dxfId="1" priority="1"/>
  </conditionalFormatting>
  <conditionalFormatting sqref="A47">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2EE45-9793-4D52-B405-2DCD37655C04}">
  <dimension ref="A1"/>
  <sheetViews>
    <sheetView workbookViewId="0">
      <selection activeCell="A2" sqref="A2"/>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E32C-4D23-4106-93E3-C8C03F521C4D}">
  <dimension ref="A1:K30"/>
  <sheetViews>
    <sheetView workbookViewId="0">
      <selection activeCell="H6" sqref="H6"/>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s="2">
        <v>100</v>
      </c>
      <c r="H2" s="2">
        <v>80</v>
      </c>
      <c r="I2" t="s">
        <v>17</v>
      </c>
      <c r="J2" t="s">
        <v>18</v>
      </c>
    </row>
    <row r="3" spans="1:11" x14ac:dyDescent="0.35">
      <c r="A3" t="s">
        <v>19</v>
      </c>
      <c r="B3" t="s">
        <v>12</v>
      </c>
      <c r="C3" t="s">
        <v>13</v>
      </c>
      <c r="D3" t="s">
        <v>20</v>
      </c>
      <c r="E3" t="s">
        <v>21</v>
      </c>
      <c r="F3" t="s">
        <v>16</v>
      </c>
      <c r="G3" s="2">
        <v>100</v>
      </c>
      <c r="H3" s="2">
        <v>96</v>
      </c>
      <c r="I3" t="s">
        <v>22</v>
      </c>
      <c r="J3" t="s">
        <v>23</v>
      </c>
    </row>
    <row r="4" spans="1:11" x14ac:dyDescent="0.35">
      <c r="A4" t="s">
        <v>24</v>
      </c>
      <c r="B4" t="s">
        <v>12</v>
      </c>
      <c r="C4" t="s">
        <v>13</v>
      </c>
      <c r="D4" t="s">
        <v>25</v>
      </c>
      <c r="E4" t="s">
        <v>26</v>
      </c>
      <c r="F4" t="s">
        <v>16</v>
      </c>
      <c r="G4" s="2">
        <v>100</v>
      </c>
      <c r="H4" s="2">
        <v>97</v>
      </c>
      <c r="I4" t="s">
        <v>27</v>
      </c>
      <c r="J4" t="s">
        <v>28</v>
      </c>
      <c r="K4" t="s">
        <v>29</v>
      </c>
    </row>
    <row r="5" spans="1:11" x14ac:dyDescent="0.35">
      <c r="A5" t="s">
        <v>30</v>
      </c>
      <c r="B5" t="s">
        <v>12</v>
      </c>
      <c r="C5" t="s">
        <v>13</v>
      </c>
      <c r="D5" t="s">
        <v>31</v>
      </c>
      <c r="E5" t="s">
        <v>32</v>
      </c>
      <c r="F5" t="s">
        <v>16</v>
      </c>
      <c r="G5" s="2">
        <v>100</v>
      </c>
      <c r="H5" s="2">
        <v>95</v>
      </c>
      <c r="I5" t="s">
        <v>27</v>
      </c>
      <c r="J5" t="s">
        <v>33</v>
      </c>
    </row>
    <row r="6" spans="1:11" x14ac:dyDescent="0.35">
      <c r="A6" t="s">
        <v>34</v>
      </c>
      <c r="B6" t="s">
        <v>12</v>
      </c>
      <c r="C6" t="s">
        <v>13</v>
      </c>
      <c r="D6" t="s">
        <v>35</v>
      </c>
      <c r="E6" t="s">
        <v>36</v>
      </c>
      <c r="F6" t="s">
        <v>16</v>
      </c>
      <c r="G6" s="2">
        <v>100</v>
      </c>
      <c r="H6" s="2">
        <v>80</v>
      </c>
      <c r="I6" t="s">
        <v>37</v>
      </c>
      <c r="J6" t="s">
        <v>38</v>
      </c>
    </row>
    <row r="7" spans="1:11" x14ac:dyDescent="0.35">
      <c r="A7" t="s">
        <v>39</v>
      </c>
      <c r="B7" t="s">
        <v>12</v>
      </c>
      <c r="C7" t="s">
        <v>13</v>
      </c>
      <c r="D7" t="s">
        <v>40</v>
      </c>
      <c r="E7" t="s">
        <v>41</v>
      </c>
      <c r="F7" t="s">
        <v>16</v>
      </c>
      <c r="G7" s="2">
        <v>100</v>
      </c>
      <c r="H7" s="2">
        <v>80</v>
      </c>
      <c r="I7" t="s">
        <v>42</v>
      </c>
      <c r="J7" t="s">
        <v>43</v>
      </c>
    </row>
    <row r="8" spans="1:11" x14ac:dyDescent="0.35">
      <c r="A8" t="s">
        <v>44</v>
      </c>
      <c r="B8" t="s">
        <v>12</v>
      </c>
      <c r="C8" t="s">
        <v>13</v>
      </c>
      <c r="D8" t="s">
        <v>45</v>
      </c>
      <c r="E8" t="s">
        <v>46</v>
      </c>
      <c r="F8" t="s">
        <v>16</v>
      </c>
      <c r="G8" s="2">
        <v>100</v>
      </c>
      <c r="H8" s="2">
        <v>85</v>
      </c>
      <c r="I8" t="s">
        <v>47</v>
      </c>
      <c r="J8" t="s">
        <v>48</v>
      </c>
    </row>
    <row r="9" spans="1:11" x14ac:dyDescent="0.35">
      <c r="A9" t="s">
        <v>49</v>
      </c>
      <c r="B9" t="s">
        <v>12</v>
      </c>
      <c r="C9" t="s">
        <v>13</v>
      </c>
      <c r="D9" t="s">
        <v>50</v>
      </c>
      <c r="E9" t="s">
        <v>51</v>
      </c>
      <c r="F9" t="s">
        <v>16</v>
      </c>
      <c r="G9" s="2">
        <v>100</v>
      </c>
      <c r="H9" s="2">
        <v>90</v>
      </c>
      <c r="I9" t="s">
        <v>52</v>
      </c>
      <c r="J9" t="s">
        <v>53</v>
      </c>
    </row>
    <row r="10" spans="1:11" x14ac:dyDescent="0.35">
      <c r="A10" t="s">
        <v>54</v>
      </c>
      <c r="B10" t="s">
        <v>12</v>
      </c>
      <c r="C10" t="s">
        <v>13</v>
      </c>
      <c r="D10" t="s">
        <v>55</v>
      </c>
      <c r="E10" t="s">
        <v>56</v>
      </c>
      <c r="F10" t="s">
        <v>16</v>
      </c>
      <c r="G10" s="2">
        <v>100</v>
      </c>
      <c r="H10" s="2">
        <v>90</v>
      </c>
      <c r="I10" t="s">
        <v>57</v>
      </c>
      <c r="J10" t="s">
        <v>58</v>
      </c>
    </row>
    <row r="11" spans="1:11" x14ac:dyDescent="0.35">
      <c r="A11" t="s">
        <v>59</v>
      </c>
      <c r="B11" t="s">
        <v>12</v>
      </c>
      <c r="C11" t="s">
        <v>13</v>
      </c>
      <c r="D11" t="s">
        <v>60</v>
      </c>
      <c r="E11" t="s">
        <v>61</v>
      </c>
      <c r="F11" t="s">
        <v>16</v>
      </c>
      <c r="G11" s="2">
        <v>100</v>
      </c>
      <c r="H11" s="2">
        <v>90</v>
      </c>
      <c r="I11" t="s">
        <v>62</v>
      </c>
      <c r="J11" t="s">
        <v>63</v>
      </c>
    </row>
    <row r="12" spans="1:11" x14ac:dyDescent="0.35">
      <c r="A12" t="s">
        <v>64</v>
      </c>
      <c r="B12" t="s">
        <v>12</v>
      </c>
      <c r="C12" t="s">
        <v>13</v>
      </c>
      <c r="D12" t="s">
        <v>65</v>
      </c>
      <c r="E12" t="s">
        <v>66</v>
      </c>
      <c r="F12" t="s">
        <v>16</v>
      </c>
      <c r="G12" s="2">
        <v>100</v>
      </c>
      <c r="H12" s="2">
        <v>90</v>
      </c>
      <c r="I12" t="s">
        <v>67</v>
      </c>
      <c r="J12" t="s">
        <v>63</v>
      </c>
    </row>
    <row r="13" spans="1:11" x14ac:dyDescent="0.35">
      <c r="A13" t="s">
        <v>68</v>
      </c>
      <c r="B13" t="s">
        <v>12</v>
      </c>
      <c r="C13" t="s">
        <v>13</v>
      </c>
      <c r="D13" t="s">
        <v>69</v>
      </c>
      <c r="E13" t="s">
        <v>70</v>
      </c>
      <c r="F13" t="s">
        <v>16</v>
      </c>
      <c r="G13" s="2">
        <v>100</v>
      </c>
      <c r="H13" s="2">
        <v>90</v>
      </c>
      <c r="I13" t="s">
        <v>71</v>
      </c>
      <c r="J13" t="s">
        <v>63</v>
      </c>
    </row>
    <row r="14" spans="1:11" x14ac:dyDescent="0.35">
      <c r="A14" t="s">
        <v>72</v>
      </c>
      <c r="B14" t="s">
        <v>12</v>
      </c>
      <c r="C14" t="s">
        <v>13</v>
      </c>
      <c r="D14" t="s">
        <v>73</v>
      </c>
      <c r="E14" t="s">
        <v>74</v>
      </c>
      <c r="F14" t="s">
        <v>16</v>
      </c>
      <c r="G14" s="2">
        <v>100</v>
      </c>
      <c r="H14" s="2">
        <v>95</v>
      </c>
      <c r="I14" t="s">
        <v>75</v>
      </c>
      <c r="J14" t="s">
        <v>76</v>
      </c>
    </row>
    <row r="15" spans="1:11" x14ac:dyDescent="0.35">
      <c r="A15" t="s">
        <v>77</v>
      </c>
      <c r="B15" t="s">
        <v>12</v>
      </c>
      <c r="C15" t="s">
        <v>13</v>
      </c>
      <c r="D15" t="s">
        <v>78</v>
      </c>
      <c r="E15" t="s">
        <v>79</v>
      </c>
      <c r="F15" t="s">
        <v>16</v>
      </c>
      <c r="G15" s="2">
        <v>100</v>
      </c>
      <c r="H15" s="2">
        <v>95</v>
      </c>
      <c r="I15" t="s">
        <v>80</v>
      </c>
      <c r="J15" t="s">
        <v>81</v>
      </c>
      <c r="K15" t="s">
        <v>82</v>
      </c>
    </row>
    <row r="16" spans="1:11" x14ac:dyDescent="0.35">
      <c r="A16" t="s">
        <v>83</v>
      </c>
      <c r="B16" t="s">
        <v>12</v>
      </c>
      <c r="C16" t="s">
        <v>13</v>
      </c>
      <c r="D16" t="s">
        <v>84</v>
      </c>
      <c r="E16" t="s">
        <v>85</v>
      </c>
      <c r="F16" t="s">
        <v>16</v>
      </c>
      <c r="G16" s="2">
        <v>100</v>
      </c>
      <c r="H16" s="2">
        <v>95</v>
      </c>
      <c r="I16" t="s">
        <v>86</v>
      </c>
      <c r="J16" t="s">
        <v>87</v>
      </c>
    </row>
    <row r="17" spans="1:11" x14ac:dyDescent="0.35">
      <c r="A17" t="s">
        <v>88</v>
      </c>
      <c r="B17" t="s">
        <v>12</v>
      </c>
      <c r="C17" t="s">
        <v>13</v>
      </c>
      <c r="D17" t="s">
        <v>89</v>
      </c>
      <c r="E17" t="s">
        <v>90</v>
      </c>
      <c r="F17" t="s">
        <v>16</v>
      </c>
      <c r="G17" s="2">
        <v>100</v>
      </c>
      <c r="H17" s="2">
        <v>95</v>
      </c>
      <c r="I17" t="s">
        <v>91</v>
      </c>
      <c r="J17" t="s">
        <v>92</v>
      </c>
    </row>
    <row r="18" spans="1:11" x14ac:dyDescent="0.35">
      <c r="A18" t="s">
        <v>93</v>
      </c>
      <c r="B18" t="s">
        <v>12</v>
      </c>
      <c r="C18" t="s">
        <v>13</v>
      </c>
      <c r="D18" t="s">
        <v>94</v>
      </c>
      <c r="E18" t="s">
        <v>95</v>
      </c>
      <c r="F18" t="s">
        <v>16</v>
      </c>
      <c r="G18" s="2">
        <v>100</v>
      </c>
      <c r="H18" s="2">
        <v>95</v>
      </c>
      <c r="I18" t="s">
        <v>96</v>
      </c>
      <c r="J18" t="s">
        <v>97</v>
      </c>
    </row>
    <row r="19" spans="1:11" x14ac:dyDescent="0.35">
      <c r="A19" t="s">
        <v>98</v>
      </c>
      <c r="B19" t="s">
        <v>12</v>
      </c>
      <c r="C19" t="s">
        <v>13</v>
      </c>
      <c r="D19" t="s">
        <v>99</v>
      </c>
      <c r="E19" t="s">
        <v>100</v>
      </c>
      <c r="F19" t="s">
        <v>16</v>
      </c>
      <c r="G19" s="2">
        <v>100</v>
      </c>
      <c r="H19" s="2">
        <v>95</v>
      </c>
      <c r="I19" t="s">
        <v>101</v>
      </c>
      <c r="J19" t="s">
        <v>102</v>
      </c>
    </row>
    <row r="20" spans="1:11" x14ac:dyDescent="0.35">
      <c r="A20" t="s">
        <v>103</v>
      </c>
      <c r="B20" t="s">
        <v>12</v>
      </c>
      <c r="C20" t="s">
        <v>13</v>
      </c>
      <c r="D20" t="s">
        <v>104</v>
      </c>
      <c r="E20" t="s">
        <v>105</v>
      </c>
      <c r="F20" t="s">
        <v>16</v>
      </c>
      <c r="G20" s="2">
        <v>100</v>
      </c>
      <c r="H20" s="2">
        <v>95</v>
      </c>
      <c r="I20" t="s">
        <v>106</v>
      </c>
      <c r="J20" t="s">
        <v>107</v>
      </c>
    </row>
    <row r="21" spans="1:11" x14ac:dyDescent="0.35">
      <c r="A21" t="s">
        <v>108</v>
      </c>
      <c r="B21" t="s">
        <v>12</v>
      </c>
      <c r="C21" t="s">
        <v>13</v>
      </c>
      <c r="D21" t="s">
        <v>109</v>
      </c>
      <c r="E21" t="s">
        <v>110</v>
      </c>
      <c r="F21" t="s">
        <v>16</v>
      </c>
      <c r="G21" s="2">
        <v>100</v>
      </c>
      <c r="H21" s="2">
        <v>90</v>
      </c>
      <c r="I21" t="s">
        <v>111</v>
      </c>
      <c r="J21" t="s">
        <v>112</v>
      </c>
    </row>
    <row r="22" spans="1:11" x14ac:dyDescent="0.35">
      <c r="A22" t="s">
        <v>113</v>
      </c>
      <c r="B22" t="s">
        <v>12</v>
      </c>
      <c r="C22" t="s">
        <v>13</v>
      </c>
      <c r="D22" t="s">
        <v>114</v>
      </c>
      <c r="E22" t="s">
        <v>115</v>
      </c>
      <c r="F22" t="s">
        <v>16</v>
      </c>
      <c r="G22" s="2">
        <v>100</v>
      </c>
      <c r="H22" s="2">
        <v>95</v>
      </c>
      <c r="I22" t="s">
        <v>116</v>
      </c>
      <c r="J22" t="s">
        <v>117</v>
      </c>
    </row>
    <row r="23" spans="1:11" x14ac:dyDescent="0.35">
      <c r="A23" t="s">
        <v>118</v>
      </c>
      <c r="B23" t="s">
        <v>12</v>
      </c>
      <c r="C23" t="s">
        <v>13</v>
      </c>
      <c r="D23" t="s">
        <v>119</v>
      </c>
      <c r="E23" t="s">
        <v>120</v>
      </c>
      <c r="F23" t="s">
        <v>16</v>
      </c>
      <c r="G23" s="2">
        <v>100</v>
      </c>
      <c r="H23" s="2">
        <v>95</v>
      </c>
      <c r="I23" t="s">
        <v>121</v>
      </c>
      <c r="J23" t="s">
        <v>122</v>
      </c>
    </row>
    <row r="24" spans="1:11" x14ac:dyDescent="0.35">
      <c r="A24" t="s">
        <v>123</v>
      </c>
      <c r="B24" t="s">
        <v>12</v>
      </c>
      <c r="C24" t="s">
        <v>13</v>
      </c>
      <c r="D24" t="s">
        <v>124</v>
      </c>
      <c r="E24" t="s">
        <v>125</v>
      </c>
      <c r="F24" t="s">
        <v>16</v>
      </c>
      <c r="G24" s="2">
        <v>100</v>
      </c>
      <c r="H24" s="2">
        <v>95</v>
      </c>
      <c r="I24" t="s">
        <v>121</v>
      </c>
      <c r="J24" t="s">
        <v>126</v>
      </c>
    </row>
    <row r="25" spans="1:11" x14ac:dyDescent="0.35">
      <c r="A25" t="s">
        <v>127</v>
      </c>
      <c r="B25" t="s">
        <v>12</v>
      </c>
      <c r="C25" t="s">
        <v>13</v>
      </c>
      <c r="D25" t="s">
        <v>128</v>
      </c>
      <c r="E25" t="s">
        <v>129</v>
      </c>
      <c r="F25" t="s">
        <v>16</v>
      </c>
      <c r="G25" s="2">
        <v>100</v>
      </c>
      <c r="H25" s="2">
        <v>95</v>
      </c>
      <c r="I25" t="s">
        <v>130</v>
      </c>
      <c r="J25" t="s">
        <v>131</v>
      </c>
    </row>
    <row r="26" spans="1:11" x14ac:dyDescent="0.35">
      <c r="A26" t="s">
        <v>132</v>
      </c>
      <c r="B26" t="s">
        <v>12</v>
      </c>
      <c r="C26" t="s">
        <v>13</v>
      </c>
      <c r="D26" t="s">
        <v>133</v>
      </c>
      <c r="E26" t="s">
        <v>134</v>
      </c>
      <c r="F26" t="s">
        <v>16</v>
      </c>
      <c r="G26" s="2">
        <v>100</v>
      </c>
      <c r="H26" s="2">
        <v>95</v>
      </c>
      <c r="I26" t="s">
        <v>135</v>
      </c>
      <c r="J26" t="s">
        <v>136</v>
      </c>
      <c r="K26" t="s">
        <v>137</v>
      </c>
    </row>
    <row r="27" spans="1:11" x14ac:dyDescent="0.35">
      <c r="A27" t="s">
        <v>138</v>
      </c>
      <c r="B27" t="s">
        <v>12</v>
      </c>
      <c r="C27" t="s">
        <v>13</v>
      </c>
      <c r="D27" t="s">
        <v>139</v>
      </c>
      <c r="E27" t="s">
        <v>140</v>
      </c>
      <c r="F27" t="s">
        <v>16</v>
      </c>
      <c r="G27" s="2">
        <v>100</v>
      </c>
      <c r="H27" s="2">
        <v>90</v>
      </c>
      <c r="I27" t="s">
        <v>141</v>
      </c>
      <c r="J27" t="s">
        <v>142</v>
      </c>
    </row>
    <row r="28" spans="1:11" x14ac:dyDescent="0.35">
      <c r="A28" t="s">
        <v>143</v>
      </c>
      <c r="B28" t="s">
        <v>12</v>
      </c>
      <c r="C28" t="s">
        <v>13</v>
      </c>
      <c r="D28" t="s">
        <v>144</v>
      </c>
      <c r="E28" t="s">
        <v>145</v>
      </c>
      <c r="F28" t="s">
        <v>16</v>
      </c>
      <c r="G28" s="2">
        <v>100</v>
      </c>
      <c r="H28" s="2">
        <v>93</v>
      </c>
      <c r="I28" t="s">
        <v>146</v>
      </c>
      <c r="J28" t="s">
        <v>131</v>
      </c>
    </row>
    <row r="29" spans="1:11" x14ac:dyDescent="0.35">
      <c r="A29" t="s">
        <v>147</v>
      </c>
      <c r="B29" t="s">
        <v>12</v>
      </c>
      <c r="C29" t="s">
        <v>13</v>
      </c>
      <c r="D29" t="s">
        <v>148</v>
      </c>
      <c r="E29" t="s">
        <v>149</v>
      </c>
      <c r="F29" t="s">
        <v>16</v>
      </c>
      <c r="G29" s="2">
        <v>100</v>
      </c>
      <c r="H29" s="2">
        <v>93</v>
      </c>
      <c r="I29" t="s">
        <v>150</v>
      </c>
      <c r="J29" t="s">
        <v>151</v>
      </c>
    </row>
    <row r="30" spans="1:11" x14ac:dyDescent="0.35">
      <c r="A30" t="s">
        <v>152</v>
      </c>
      <c r="B30" t="s">
        <v>12</v>
      </c>
      <c r="C30" t="s">
        <v>13</v>
      </c>
      <c r="D30" t="s">
        <v>153</v>
      </c>
      <c r="E30" t="s">
        <v>154</v>
      </c>
      <c r="F30" t="s">
        <v>16</v>
      </c>
      <c r="G30" s="2">
        <v>100</v>
      </c>
      <c r="H30" s="2">
        <v>90</v>
      </c>
      <c r="I30" t="s">
        <v>155</v>
      </c>
      <c r="J30" t="s">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81A1-C48D-48EC-8302-657506F09988}">
  <dimension ref="A1:K36"/>
  <sheetViews>
    <sheetView workbookViewId="0">
      <selection activeCell="H15" sqref="H15"/>
    </sheetView>
  </sheetViews>
  <sheetFormatPr defaultRowHeight="14.5" x14ac:dyDescent="0.35"/>
  <cols>
    <col min="1" max="1" width="13.453125" customWidth="1"/>
    <col min="2" max="2" width="14.81640625" customWidth="1"/>
    <col min="3" max="3" width="13.453125" customWidth="1"/>
    <col min="4" max="4" width="35.08984375" customWidth="1"/>
    <col min="5" max="5" width="43.1796875" customWidth="1"/>
    <col min="6" max="6" width="8.08984375" customWidth="1"/>
    <col min="7" max="7" width="14.81640625" customWidth="1"/>
    <col min="8" max="8" width="6.7265625" customWidth="1"/>
    <col min="9" max="9" width="45.90625" customWidth="1"/>
    <col min="10" max="10" width="47.26953125" customWidth="1"/>
    <col min="11" max="11" width="41.816406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39</v>
      </c>
      <c r="B2" t="s">
        <v>12</v>
      </c>
      <c r="C2" t="s">
        <v>13</v>
      </c>
      <c r="D2" t="s">
        <v>40</v>
      </c>
      <c r="E2" t="s">
        <v>41</v>
      </c>
      <c r="F2" t="s">
        <v>16</v>
      </c>
      <c r="G2" s="2">
        <v>100</v>
      </c>
      <c r="H2" s="2">
        <v>95</v>
      </c>
      <c r="I2" t="s">
        <v>157</v>
      </c>
      <c r="J2" t="s">
        <v>158</v>
      </c>
    </row>
    <row r="3" spans="1:11" x14ac:dyDescent="0.35">
      <c r="A3" t="s">
        <v>159</v>
      </c>
      <c r="B3" t="s">
        <v>12</v>
      </c>
      <c r="C3" t="s">
        <v>13</v>
      </c>
      <c r="D3" t="s">
        <v>160</v>
      </c>
      <c r="E3" t="s">
        <v>161</v>
      </c>
      <c r="F3" t="s">
        <v>16</v>
      </c>
      <c r="G3" s="2">
        <v>100</v>
      </c>
      <c r="H3" s="2">
        <v>95</v>
      </c>
      <c r="I3" t="s">
        <v>162</v>
      </c>
      <c r="J3" t="s">
        <v>163</v>
      </c>
      <c r="K3" t="s">
        <v>164</v>
      </c>
    </row>
    <row r="4" spans="1:11" x14ac:dyDescent="0.35">
      <c r="A4" t="s">
        <v>165</v>
      </c>
      <c r="B4" t="s">
        <v>12</v>
      </c>
      <c r="C4" t="s">
        <v>13</v>
      </c>
      <c r="D4" t="s">
        <v>166</v>
      </c>
      <c r="E4" t="s">
        <v>167</v>
      </c>
      <c r="F4" t="s">
        <v>16</v>
      </c>
      <c r="G4" s="2">
        <v>100</v>
      </c>
      <c r="H4" s="2">
        <v>95</v>
      </c>
      <c r="I4" t="s">
        <v>168</v>
      </c>
      <c r="J4" t="s">
        <v>169</v>
      </c>
      <c r="K4" t="s">
        <v>170</v>
      </c>
    </row>
    <row r="5" spans="1:11" x14ac:dyDescent="0.35">
      <c r="A5" t="s">
        <v>165</v>
      </c>
      <c r="B5" t="s">
        <v>12</v>
      </c>
      <c r="C5" t="s">
        <v>13</v>
      </c>
      <c r="D5" t="s">
        <v>166</v>
      </c>
      <c r="E5" t="s">
        <v>167</v>
      </c>
      <c r="F5" t="s">
        <v>16</v>
      </c>
      <c r="G5" s="2">
        <v>100</v>
      </c>
      <c r="H5" s="2">
        <v>95</v>
      </c>
      <c r="I5" t="s">
        <v>168</v>
      </c>
      <c r="J5" t="s">
        <v>169</v>
      </c>
      <c r="K5" t="s">
        <v>170</v>
      </c>
    </row>
    <row r="6" spans="1:11" x14ac:dyDescent="0.35">
      <c r="A6" t="s">
        <v>59</v>
      </c>
      <c r="B6" t="s">
        <v>12</v>
      </c>
      <c r="C6" t="s">
        <v>13</v>
      </c>
      <c r="D6" t="s">
        <v>60</v>
      </c>
      <c r="E6" t="s">
        <v>61</v>
      </c>
      <c r="F6" t="s">
        <v>16</v>
      </c>
      <c r="G6" s="2">
        <v>100</v>
      </c>
      <c r="H6" s="2">
        <v>95</v>
      </c>
      <c r="I6" t="s">
        <v>171</v>
      </c>
      <c r="J6" t="s">
        <v>172</v>
      </c>
    </row>
    <row r="7" spans="1:11" x14ac:dyDescent="0.35">
      <c r="A7" t="s">
        <v>19</v>
      </c>
      <c r="B7" t="s">
        <v>12</v>
      </c>
      <c r="C7" t="s">
        <v>13</v>
      </c>
      <c r="D7" t="s">
        <v>20</v>
      </c>
      <c r="E7" t="s">
        <v>21</v>
      </c>
      <c r="F7" t="s">
        <v>16</v>
      </c>
      <c r="G7" s="2">
        <v>100</v>
      </c>
      <c r="H7" s="2">
        <v>95</v>
      </c>
      <c r="I7" t="s">
        <v>173</v>
      </c>
      <c r="J7" t="s">
        <v>174</v>
      </c>
    </row>
    <row r="8" spans="1:11" x14ac:dyDescent="0.35">
      <c r="A8" t="s">
        <v>143</v>
      </c>
      <c r="B8" t="s">
        <v>12</v>
      </c>
      <c r="C8" t="s">
        <v>13</v>
      </c>
      <c r="D8" t="s">
        <v>144</v>
      </c>
      <c r="E8" t="s">
        <v>145</v>
      </c>
      <c r="F8" t="s">
        <v>16</v>
      </c>
      <c r="G8" s="2">
        <v>100</v>
      </c>
      <c r="H8" s="2">
        <v>95</v>
      </c>
      <c r="I8" t="s">
        <v>173</v>
      </c>
      <c r="J8" t="s">
        <v>175</v>
      </c>
    </row>
    <row r="9" spans="1:11" x14ac:dyDescent="0.35">
      <c r="A9" t="s">
        <v>64</v>
      </c>
      <c r="B9" t="s">
        <v>12</v>
      </c>
      <c r="C9" t="s">
        <v>13</v>
      </c>
      <c r="D9" t="s">
        <v>65</v>
      </c>
      <c r="E9" t="s">
        <v>66</v>
      </c>
      <c r="F9" t="s">
        <v>16</v>
      </c>
      <c r="G9" s="2">
        <v>100</v>
      </c>
      <c r="H9" s="2">
        <v>95</v>
      </c>
      <c r="I9" t="s">
        <v>176</v>
      </c>
      <c r="J9" t="s">
        <v>177</v>
      </c>
    </row>
    <row r="10" spans="1:11" x14ac:dyDescent="0.35">
      <c r="A10" t="s">
        <v>123</v>
      </c>
      <c r="B10" t="s">
        <v>12</v>
      </c>
      <c r="C10" t="s">
        <v>13</v>
      </c>
      <c r="D10" t="s">
        <v>124</v>
      </c>
      <c r="E10" t="s">
        <v>125</v>
      </c>
      <c r="F10" t="s">
        <v>16</v>
      </c>
      <c r="G10" s="2">
        <v>100</v>
      </c>
      <c r="H10" s="2">
        <v>95</v>
      </c>
      <c r="I10" t="s">
        <v>176</v>
      </c>
      <c r="J10" t="s">
        <v>178</v>
      </c>
    </row>
    <row r="11" spans="1:11" x14ac:dyDescent="0.35">
      <c r="A11" t="s">
        <v>72</v>
      </c>
      <c r="B11" t="s">
        <v>12</v>
      </c>
      <c r="C11" t="s">
        <v>13</v>
      </c>
      <c r="D11" t="s">
        <v>73</v>
      </c>
      <c r="E11" t="s">
        <v>74</v>
      </c>
      <c r="F11" t="s">
        <v>16</v>
      </c>
      <c r="G11" s="2">
        <v>100</v>
      </c>
      <c r="H11" s="2">
        <v>95</v>
      </c>
      <c r="I11" t="s">
        <v>176</v>
      </c>
      <c r="J11" t="s">
        <v>179</v>
      </c>
    </row>
    <row r="12" spans="1:11" x14ac:dyDescent="0.35">
      <c r="A12" t="s">
        <v>83</v>
      </c>
      <c r="B12" t="s">
        <v>12</v>
      </c>
      <c r="C12" t="s">
        <v>13</v>
      </c>
      <c r="D12" t="s">
        <v>84</v>
      </c>
      <c r="E12" t="s">
        <v>85</v>
      </c>
      <c r="F12" t="s">
        <v>16</v>
      </c>
      <c r="G12" s="2">
        <v>100</v>
      </c>
      <c r="H12" s="2">
        <v>95</v>
      </c>
      <c r="I12" t="s">
        <v>180</v>
      </c>
      <c r="J12" t="s">
        <v>181</v>
      </c>
    </row>
    <row r="13" spans="1:11" x14ac:dyDescent="0.35">
      <c r="A13" t="s">
        <v>138</v>
      </c>
      <c r="B13" t="s">
        <v>12</v>
      </c>
      <c r="C13" t="s">
        <v>13</v>
      </c>
      <c r="D13" t="s">
        <v>139</v>
      </c>
      <c r="E13" t="s">
        <v>140</v>
      </c>
      <c r="F13" t="s">
        <v>16</v>
      </c>
      <c r="G13" s="2">
        <v>100</v>
      </c>
      <c r="H13" s="2">
        <v>95</v>
      </c>
      <c r="I13" t="s">
        <v>182</v>
      </c>
      <c r="J13" t="s">
        <v>183</v>
      </c>
    </row>
    <row r="14" spans="1:11" x14ac:dyDescent="0.35">
      <c r="A14" t="s">
        <v>54</v>
      </c>
      <c r="B14" t="s">
        <v>12</v>
      </c>
      <c r="C14" t="s">
        <v>13</v>
      </c>
      <c r="D14" t="s">
        <v>55</v>
      </c>
      <c r="E14" t="s">
        <v>56</v>
      </c>
      <c r="F14" t="s">
        <v>16</v>
      </c>
      <c r="G14" s="2">
        <v>100</v>
      </c>
      <c r="H14" s="2">
        <v>95</v>
      </c>
      <c r="I14" t="s">
        <v>184</v>
      </c>
      <c r="J14" t="s">
        <v>185</v>
      </c>
    </row>
    <row r="15" spans="1:11" x14ac:dyDescent="0.35">
      <c r="A15" t="s">
        <v>34</v>
      </c>
      <c r="B15" t="s">
        <v>12</v>
      </c>
      <c r="C15" t="s">
        <v>13</v>
      </c>
      <c r="D15" t="s">
        <v>35</v>
      </c>
      <c r="E15" t="s">
        <v>36</v>
      </c>
      <c r="F15" t="s">
        <v>16</v>
      </c>
      <c r="G15" s="2">
        <v>100</v>
      </c>
      <c r="H15" s="2">
        <v>95</v>
      </c>
      <c r="I15" t="s">
        <v>186</v>
      </c>
      <c r="J15" t="s">
        <v>187</v>
      </c>
    </row>
    <row r="16" spans="1:11" x14ac:dyDescent="0.35">
      <c r="A16" t="s">
        <v>147</v>
      </c>
      <c r="B16" t="s">
        <v>12</v>
      </c>
      <c r="C16" t="s">
        <v>13</v>
      </c>
      <c r="D16" t="s">
        <v>148</v>
      </c>
      <c r="E16" t="s">
        <v>149</v>
      </c>
      <c r="F16" t="s">
        <v>16</v>
      </c>
      <c r="G16" s="2">
        <v>100</v>
      </c>
      <c r="H16" s="2">
        <v>95</v>
      </c>
      <c r="I16" t="s">
        <v>188</v>
      </c>
      <c r="J16" t="s">
        <v>189</v>
      </c>
    </row>
    <row r="17" spans="1:11" x14ac:dyDescent="0.35">
      <c r="A17" t="s">
        <v>30</v>
      </c>
      <c r="B17" t="s">
        <v>12</v>
      </c>
      <c r="C17" t="s">
        <v>13</v>
      </c>
      <c r="D17" t="s">
        <v>31</v>
      </c>
      <c r="E17" t="s">
        <v>32</v>
      </c>
      <c r="F17" t="s">
        <v>16</v>
      </c>
      <c r="G17" s="2">
        <v>100</v>
      </c>
      <c r="H17" s="2">
        <v>95</v>
      </c>
      <c r="I17" t="s">
        <v>190</v>
      </c>
      <c r="J17" t="s">
        <v>191</v>
      </c>
    </row>
    <row r="18" spans="1:11" x14ac:dyDescent="0.35">
      <c r="A18" t="s">
        <v>192</v>
      </c>
      <c r="B18" t="s">
        <v>12</v>
      </c>
      <c r="C18" t="s">
        <v>13</v>
      </c>
      <c r="D18" t="s">
        <v>193</v>
      </c>
      <c r="E18" t="s">
        <v>194</v>
      </c>
      <c r="F18" t="s">
        <v>16</v>
      </c>
      <c r="G18" s="2">
        <v>100</v>
      </c>
      <c r="H18" s="2">
        <v>95</v>
      </c>
      <c r="I18" t="s">
        <v>195</v>
      </c>
      <c r="J18" t="s">
        <v>191</v>
      </c>
    </row>
    <row r="19" spans="1:11" x14ac:dyDescent="0.35">
      <c r="A19" t="s">
        <v>93</v>
      </c>
      <c r="B19" t="s">
        <v>12</v>
      </c>
      <c r="C19" t="s">
        <v>13</v>
      </c>
      <c r="D19" t="s">
        <v>94</v>
      </c>
      <c r="E19" t="s">
        <v>95</v>
      </c>
      <c r="F19" t="s">
        <v>16</v>
      </c>
      <c r="G19" s="2">
        <v>100</v>
      </c>
      <c r="H19" s="2">
        <v>95</v>
      </c>
      <c r="I19" t="s">
        <v>196</v>
      </c>
      <c r="J19" t="s">
        <v>197</v>
      </c>
    </row>
    <row r="20" spans="1:11" x14ac:dyDescent="0.35">
      <c r="A20" t="s">
        <v>103</v>
      </c>
      <c r="B20" t="s">
        <v>12</v>
      </c>
      <c r="C20" t="s">
        <v>13</v>
      </c>
      <c r="D20" t="s">
        <v>104</v>
      </c>
      <c r="E20" t="s">
        <v>105</v>
      </c>
      <c r="F20" t="s">
        <v>16</v>
      </c>
      <c r="G20" s="2">
        <v>100</v>
      </c>
      <c r="H20" s="2">
        <v>95</v>
      </c>
      <c r="I20" t="s">
        <v>198</v>
      </c>
      <c r="J20" t="s">
        <v>199</v>
      </c>
    </row>
    <row r="21" spans="1:11" x14ac:dyDescent="0.35">
      <c r="A21" t="s">
        <v>49</v>
      </c>
      <c r="B21" t="s">
        <v>12</v>
      </c>
      <c r="C21" t="s">
        <v>13</v>
      </c>
      <c r="D21" t="s">
        <v>50</v>
      </c>
      <c r="E21" t="s">
        <v>51</v>
      </c>
      <c r="F21" t="s">
        <v>16</v>
      </c>
      <c r="G21" s="2">
        <v>100</v>
      </c>
      <c r="H21" s="2">
        <v>95</v>
      </c>
      <c r="I21" t="s">
        <v>200</v>
      </c>
      <c r="J21" t="s">
        <v>201</v>
      </c>
    </row>
    <row r="22" spans="1:11" x14ac:dyDescent="0.35">
      <c r="A22" t="s">
        <v>24</v>
      </c>
      <c r="B22" t="s">
        <v>12</v>
      </c>
      <c r="C22" t="s">
        <v>13</v>
      </c>
      <c r="D22" t="s">
        <v>25</v>
      </c>
      <c r="E22" t="s">
        <v>26</v>
      </c>
      <c r="F22" t="s">
        <v>16</v>
      </c>
      <c r="G22" s="2">
        <v>100</v>
      </c>
      <c r="H22" s="2">
        <v>96</v>
      </c>
      <c r="I22" t="s">
        <v>202</v>
      </c>
      <c r="J22" t="s">
        <v>203</v>
      </c>
    </row>
    <row r="23" spans="1:11" x14ac:dyDescent="0.35">
      <c r="A23" t="s">
        <v>108</v>
      </c>
      <c r="B23" t="s">
        <v>12</v>
      </c>
      <c r="C23" t="s">
        <v>13</v>
      </c>
      <c r="D23" t="s">
        <v>109</v>
      </c>
      <c r="E23" t="s">
        <v>110</v>
      </c>
      <c r="F23" t="s">
        <v>16</v>
      </c>
      <c r="G23" s="2">
        <v>100</v>
      </c>
      <c r="H23" s="2">
        <v>95</v>
      </c>
      <c r="I23" t="s">
        <v>204</v>
      </c>
      <c r="J23" t="s">
        <v>205</v>
      </c>
    </row>
    <row r="24" spans="1:11" x14ac:dyDescent="0.35">
      <c r="A24" t="s">
        <v>127</v>
      </c>
      <c r="B24" t="s">
        <v>12</v>
      </c>
      <c r="C24" t="s">
        <v>13</v>
      </c>
      <c r="D24" t="s">
        <v>128</v>
      </c>
      <c r="E24" t="s">
        <v>129</v>
      </c>
      <c r="F24" t="s">
        <v>16</v>
      </c>
      <c r="G24" s="2">
        <v>100</v>
      </c>
      <c r="H24" s="2">
        <v>95</v>
      </c>
      <c r="I24" t="s">
        <v>206</v>
      </c>
      <c r="J24" t="s">
        <v>207</v>
      </c>
    </row>
    <row r="25" spans="1:11" x14ac:dyDescent="0.35">
      <c r="A25" t="s">
        <v>118</v>
      </c>
      <c r="B25" t="s">
        <v>12</v>
      </c>
      <c r="C25" t="s">
        <v>13</v>
      </c>
      <c r="D25" t="s">
        <v>119</v>
      </c>
      <c r="E25" t="s">
        <v>120</v>
      </c>
      <c r="F25" t="s">
        <v>16</v>
      </c>
      <c r="G25" s="2">
        <v>100</v>
      </c>
      <c r="H25" s="2">
        <v>95</v>
      </c>
      <c r="I25" t="s">
        <v>208</v>
      </c>
      <c r="J25" t="s">
        <v>209</v>
      </c>
    </row>
    <row r="26" spans="1:11" x14ac:dyDescent="0.35">
      <c r="A26" t="s">
        <v>113</v>
      </c>
      <c r="B26" t="s">
        <v>12</v>
      </c>
      <c r="C26" t="s">
        <v>13</v>
      </c>
      <c r="D26" t="s">
        <v>114</v>
      </c>
      <c r="E26" t="s">
        <v>115</v>
      </c>
      <c r="F26" t="s">
        <v>16</v>
      </c>
      <c r="G26" s="2">
        <v>100</v>
      </c>
      <c r="H26" s="2">
        <v>95</v>
      </c>
      <c r="I26" t="s">
        <v>210</v>
      </c>
      <c r="J26" t="s">
        <v>211</v>
      </c>
    </row>
    <row r="27" spans="1:11" x14ac:dyDescent="0.35">
      <c r="A27" t="s">
        <v>132</v>
      </c>
      <c r="B27" t="s">
        <v>12</v>
      </c>
      <c r="C27" t="s">
        <v>13</v>
      </c>
      <c r="D27" t="s">
        <v>133</v>
      </c>
      <c r="E27" t="s">
        <v>134</v>
      </c>
      <c r="F27" t="s">
        <v>16</v>
      </c>
      <c r="G27" s="2">
        <v>100</v>
      </c>
      <c r="H27" s="2">
        <v>95</v>
      </c>
      <c r="I27" t="s">
        <v>212</v>
      </c>
      <c r="J27" t="s">
        <v>213</v>
      </c>
      <c r="K27" t="s">
        <v>214</v>
      </c>
    </row>
    <row r="28" spans="1:11" x14ac:dyDescent="0.35">
      <c r="A28" t="s">
        <v>98</v>
      </c>
      <c r="B28" t="s">
        <v>12</v>
      </c>
      <c r="C28" t="s">
        <v>13</v>
      </c>
      <c r="D28" t="s">
        <v>99</v>
      </c>
      <c r="E28" t="s">
        <v>100</v>
      </c>
      <c r="F28" t="s">
        <v>16</v>
      </c>
      <c r="G28" s="2">
        <v>100</v>
      </c>
      <c r="H28" s="2">
        <v>95</v>
      </c>
      <c r="I28" t="s">
        <v>215</v>
      </c>
      <c r="J28" t="s">
        <v>216</v>
      </c>
    </row>
    <row r="29" spans="1:11" x14ac:dyDescent="0.35">
      <c r="A29" t="s">
        <v>217</v>
      </c>
      <c r="B29" t="s">
        <v>12</v>
      </c>
      <c r="C29" t="s">
        <v>13</v>
      </c>
      <c r="D29" t="s">
        <v>218</v>
      </c>
      <c r="E29" t="s">
        <v>219</v>
      </c>
      <c r="F29" t="s">
        <v>16</v>
      </c>
      <c r="G29" s="2">
        <v>100</v>
      </c>
      <c r="H29" s="2">
        <v>95</v>
      </c>
      <c r="I29" t="s">
        <v>220</v>
      </c>
      <c r="J29" t="s">
        <v>191</v>
      </c>
    </row>
    <row r="30" spans="1:11" x14ac:dyDescent="0.35">
      <c r="A30" t="s">
        <v>68</v>
      </c>
      <c r="B30" t="s">
        <v>12</v>
      </c>
      <c r="C30" t="s">
        <v>13</v>
      </c>
      <c r="D30" t="s">
        <v>69</v>
      </c>
      <c r="E30" t="s">
        <v>70</v>
      </c>
      <c r="F30" t="s">
        <v>16</v>
      </c>
      <c r="G30" s="2">
        <v>100</v>
      </c>
      <c r="H30" s="2">
        <v>95</v>
      </c>
      <c r="I30" t="s">
        <v>221</v>
      </c>
      <c r="J30" t="s">
        <v>222</v>
      </c>
    </row>
    <row r="31" spans="1:11" x14ac:dyDescent="0.35">
      <c r="A31" t="s">
        <v>88</v>
      </c>
      <c r="B31" t="s">
        <v>12</v>
      </c>
      <c r="C31" t="s">
        <v>13</v>
      </c>
      <c r="D31" t="s">
        <v>89</v>
      </c>
      <c r="E31" t="s">
        <v>90</v>
      </c>
      <c r="F31" t="s">
        <v>16</v>
      </c>
      <c r="G31" s="2">
        <v>100</v>
      </c>
      <c r="H31" s="2">
        <v>95</v>
      </c>
      <c r="I31" t="s">
        <v>223</v>
      </c>
      <c r="J31" t="s">
        <v>224</v>
      </c>
    </row>
    <row r="32" spans="1:11" x14ac:dyDescent="0.35">
      <c r="A32" t="s">
        <v>77</v>
      </c>
      <c r="B32" t="s">
        <v>12</v>
      </c>
      <c r="C32" t="s">
        <v>13</v>
      </c>
      <c r="D32" t="s">
        <v>78</v>
      </c>
      <c r="E32" t="s">
        <v>79</v>
      </c>
      <c r="F32" t="s">
        <v>16</v>
      </c>
      <c r="G32" s="2">
        <v>100</v>
      </c>
      <c r="H32" s="2">
        <v>95</v>
      </c>
      <c r="I32" t="s">
        <v>225</v>
      </c>
      <c r="J32" t="s">
        <v>226</v>
      </c>
      <c r="K32" t="s">
        <v>227</v>
      </c>
    </row>
    <row r="33" spans="1:10" x14ac:dyDescent="0.35">
      <c r="A33" t="s">
        <v>152</v>
      </c>
      <c r="B33" t="s">
        <v>12</v>
      </c>
      <c r="C33" t="s">
        <v>13</v>
      </c>
      <c r="D33" t="s">
        <v>153</v>
      </c>
      <c r="E33" t="s">
        <v>154</v>
      </c>
      <c r="F33" t="s">
        <v>16</v>
      </c>
      <c r="G33" s="2">
        <v>100</v>
      </c>
      <c r="H33" s="2">
        <v>95</v>
      </c>
      <c r="I33" t="s">
        <v>228</v>
      </c>
      <c r="J33" t="s">
        <v>229</v>
      </c>
    </row>
    <row r="34" spans="1:10" x14ac:dyDescent="0.35">
      <c r="A34" t="s">
        <v>44</v>
      </c>
      <c r="B34" t="s">
        <v>12</v>
      </c>
      <c r="C34" t="s">
        <v>13</v>
      </c>
      <c r="D34" t="s">
        <v>45</v>
      </c>
      <c r="E34" t="s">
        <v>46</v>
      </c>
      <c r="F34" t="s">
        <v>16</v>
      </c>
      <c r="G34" s="2">
        <v>100</v>
      </c>
      <c r="H34" s="2">
        <v>95</v>
      </c>
      <c r="I34" t="s">
        <v>230</v>
      </c>
      <c r="J34" t="s">
        <v>231</v>
      </c>
    </row>
    <row r="35" spans="1:10" x14ac:dyDescent="0.35">
      <c r="A35" t="s">
        <v>232</v>
      </c>
      <c r="B35" t="s">
        <v>12</v>
      </c>
      <c r="C35" t="s">
        <v>13</v>
      </c>
      <c r="D35" t="s">
        <v>233</v>
      </c>
      <c r="E35" t="s">
        <v>234</v>
      </c>
      <c r="F35" t="s">
        <v>16</v>
      </c>
      <c r="G35" s="2">
        <v>100</v>
      </c>
      <c r="H35" s="2">
        <v>95</v>
      </c>
      <c r="I35" t="s">
        <v>235</v>
      </c>
      <c r="J35" t="s">
        <v>236</v>
      </c>
    </row>
    <row r="36" spans="1:10" x14ac:dyDescent="0.35">
      <c r="A36" t="s">
        <v>237</v>
      </c>
      <c r="B36" t="s">
        <v>12</v>
      </c>
      <c r="C36" t="s">
        <v>13</v>
      </c>
      <c r="D36" t="s">
        <v>238</v>
      </c>
      <c r="E36" t="s">
        <v>239</v>
      </c>
      <c r="F36" t="s">
        <v>16</v>
      </c>
      <c r="G36" s="2">
        <v>100</v>
      </c>
      <c r="H36" s="2">
        <v>96</v>
      </c>
      <c r="I36" t="s">
        <v>240</v>
      </c>
      <c r="J36" t="s">
        <v>241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7C68-7E05-4310-B139-9DDAD576BF80}">
  <dimension ref="A1:K32"/>
  <sheetViews>
    <sheetView workbookViewId="0">
      <selection activeCell="A2" sqref="A2"/>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83</v>
      </c>
      <c r="B2" t="s">
        <v>12</v>
      </c>
      <c r="C2" t="s">
        <v>13</v>
      </c>
      <c r="D2" t="s">
        <v>84</v>
      </c>
      <c r="E2" t="s">
        <v>85</v>
      </c>
      <c r="F2" t="s">
        <v>16</v>
      </c>
      <c r="G2" s="2">
        <v>100</v>
      </c>
      <c r="H2" s="2">
        <v>95</v>
      </c>
      <c r="I2" t="s">
        <v>242</v>
      </c>
      <c r="J2" t="s">
        <v>243</v>
      </c>
    </row>
    <row r="3" spans="1:11" x14ac:dyDescent="0.35">
      <c r="A3" t="s">
        <v>24</v>
      </c>
      <c r="B3" t="s">
        <v>12</v>
      </c>
      <c r="C3" t="s">
        <v>13</v>
      </c>
      <c r="D3" t="s">
        <v>25</v>
      </c>
      <c r="E3" t="s">
        <v>26</v>
      </c>
      <c r="F3" t="s">
        <v>16</v>
      </c>
      <c r="G3" s="2">
        <v>100</v>
      </c>
      <c r="H3" s="2">
        <v>96</v>
      </c>
      <c r="I3" t="s">
        <v>244</v>
      </c>
      <c r="J3" t="s">
        <v>245</v>
      </c>
      <c r="K3" t="s">
        <v>246</v>
      </c>
    </row>
    <row r="4" spans="1:11" x14ac:dyDescent="0.35">
      <c r="A4" t="s">
        <v>19</v>
      </c>
      <c r="B4" t="s">
        <v>12</v>
      </c>
      <c r="C4" t="s">
        <v>13</v>
      </c>
      <c r="D4" t="s">
        <v>20</v>
      </c>
      <c r="E4" t="s">
        <v>21</v>
      </c>
      <c r="F4" t="s">
        <v>16</v>
      </c>
      <c r="G4" s="2">
        <v>100</v>
      </c>
      <c r="H4" s="2">
        <v>95</v>
      </c>
      <c r="I4" t="s">
        <v>247</v>
      </c>
      <c r="J4" t="s">
        <v>248</v>
      </c>
    </row>
    <row r="5" spans="1:11" x14ac:dyDescent="0.35">
      <c r="A5" t="s">
        <v>39</v>
      </c>
      <c r="B5" t="s">
        <v>12</v>
      </c>
      <c r="C5" t="s">
        <v>13</v>
      </c>
      <c r="D5" t="s">
        <v>40</v>
      </c>
      <c r="E5" t="s">
        <v>41</v>
      </c>
      <c r="F5" t="s">
        <v>16</v>
      </c>
      <c r="G5" s="2">
        <v>100</v>
      </c>
      <c r="H5" s="2">
        <v>80</v>
      </c>
      <c r="I5" t="s">
        <v>249</v>
      </c>
      <c r="J5" t="s">
        <v>250</v>
      </c>
    </row>
    <row r="6" spans="1:11" x14ac:dyDescent="0.35">
      <c r="A6" t="s">
        <v>113</v>
      </c>
      <c r="B6" t="s">
        <v>12</v>
      </c>
      <c r="C6" t="s">
        <v>13</v>
      </c>
      <c r="D6" t="s">
        <v>114</v>
      </c>
      <c r="E6" t="s">
        <v>115</v>
      </c>
      <c r="F6" t="s">
        <v>16</v>
      </c>
      <c r="G6" s="2">
        <v>100</v>
      </c>
      <c r="H6" s="2">
        <v>95</v>
      </c>
      <c r="I6" t="s">
        <v>251</v>
      </c>
      <c r="J6" t="s">
        <v>252</v>
      </c>
    </row>
    <row r="7" spans="1:11" x14ac:dyDescent="0.35">
      <c r="A7" t="s">
        <v>118</v>
      </c>
      <c r="B7" t="s">
        <v>12</v>
      </c>
      <c r="C7" t="s">
        <v>13</v>
      </c>
      <c r="D7" t="s">
        <v>119</v>
      </c>
      <c r="E7" t="s">
        <v>120</v>
      </c>
      <c r="F7" t="s">
        <v>16</v>
      </c>
      <c r="G7" s="2">
        <v>100</v>
      </c>
      <c r="H7" s="2">
        <v>95</v>
      </c>
      <c r="I7" t="s">
        <v>253</v>
      </c>
      <c r="J7" t="s">
        <v>254</v>
      </c>
    </row>
    <row r="8" spans="1:11" x14ac:dyDescent="0.35">
      <c r="A8" t="s">
        <v>152</v>
      </c>
      <c r="B8" t="s">
        <v>12</v>
      </c>
      <c r="C8" t="s">
        <v>13</v>
      </c>
      <c r="D8" t="s">
        <v>153</v>
      </c>
      <c r="E8" t="s">
        <v>154</v>
      </c>
      <c r="F8" t="s">
        <v>16</v>
      </c>
      <c r="G8" s="2">
        <v>100</v>
      </c>
      <c r="H8" s="2">
        <v>90</v>
      </c>
      <c r="I8" t="s">
        <v>255</v>
      </c>
      <c r="J8" t="s">
        <v>256</v>
      </c>
    </row>
    <row r="9" spans="1:11" x14ac:dyDescent="0.35">
      <c r="A9" t="s">
        <v>30</v>
      </c>
      <c r="B9" t="s">
        <v>12</v>
      </c>
      <c r="C9" t="s">
        <v>13</v>
      </c>
      <c r="D9" t="s">
        <v>31</v>
      </c>
      <c r="E9" t="s">
        <v>32</v>
      </c>
      <c r="F9" t="s">
        <v>16</v>
      </c>
      <c r="G9" s="2">
        <v>100</v>
      </c>
      <c r="H9" s="2">
        <v>95</v>
      </c>
      <c r="I9" t="s">
        <v>257</v>
      </c>
      <c r="J9" t="s">
        <v>258</v>
      </c>
    </row>
    <row r="10" spans="1:11" x14ac:dyDescent="0.35">
      <c r="A10" t="s">
        <v>93</v>
      </c>
      <c r="B10" t="s">
        <v>12</v>
      </c>
      <c r="C10" t="s">
        <v>13</v>
      </c>
      <c r="D10" t="s">
        <v>94</v>
      </c>
      <c r="E10" t="s">
        <v>95</v>
      </c>
      <c r="F10" t="s">
        <v>16</v>
      </c>
      <c r="G10" s="2">
        <v>100</v>
      </c>
      <c r="H10" s="2">
        <v>95</v>
      </c>
      <c r="I10" t="s">
        <v>259</v>
      </c>
      <c r="J10" t="s">
        <v>260</v>
      </c>
    </row>
    <row r="11" spans="1:11" x14ac:dyDescent="0.35">
      <c r="A11" t="s">
        <v>72</v>
      </c>
      <c r="B11" t="s">
        <v>12</v>
      </c>
      <c r="C11" t="s">
        <v>13</v>
      </c>
      <c r="D11" t="s">
        <v>73</v>
      </c>
      <c r="E11" t="s">
        <v>74</v>
      </c>
      <c r="F11" t="s">
        <v>16</v>
      </c>
      <c r="G11" s="2">
        <v>100</v>
      </c>
      <c r="H11" s="2">
        <v>95</v>
      </c>
      <c r="I11" t="s">
        <v>261</v>
      </c>
      <c r="J11" t="s">
        <v>262</v>
      </c>
    </row>
    <row r="12" spans="1:11" x14ac:dyDescent="0.35">
      <c r="A12" t="s">
        <v>159</v>
      </c>
      <c r="B12" t="s">
        <v>12</v>
      </c>
      <c r="C12" t="s">
        <v>13</v>
      </c>
      <c r="D12" t="s">
        <v>160</v>
      </c>
      <c r="E12" t="s">
        <v>161</v>
      </c>
      <c r="F12" t="s">
        <v>16</v>
      </c>
      <c r="G12" s="2">
        <v>100</v>
      </c>
      <c r="H12" s="2">
        <v>90</v>
      </c>
      <c r="I12" t="s">
        <v>263</v>
      </c>
      <c r="J12" t="s">
        <v>264</v>
      </c>
      <c r="K12" t="s">
        <v>265</v>
      </c>
    </row>
    <row r="13" spans="1:11" x14ac:dyDescent="0.35">
      <c r="A13" t="s">
        <v>59</v>
      </c>
      <c r="B13" t="s">
        <v>12</v>
      </c>
      <c r="C13" t="s">
        <v>13</v>
      </c>
      <c r="D13" t="s">
        <v>60</v>
      </c>
      <c r="E13" t="s">
        <v>61</v>
      </c>
      <c r="F13" t="s">
        <v>16</v>
      </c>
      <c r="G13" s="2">
        <v>100</v>
      </c>
      <c r="H13" s="2">
        <v>95</v>
      </c>
      <c r="I13" t="s">
        <v>266</v>
      </c>
      <c r="J13" t="s">
        <v>267</v>
      </c>
    </row>
    <row r="14" spans="1:11" x14ac:dyDescent="0.35">
      <c r="A14" t="s">
        <v>143</v>
      </c>
      <c r="B14" t="s">
        <v>12</v>
      </c>
      <c r="C14" t="s">
        <v>13</v>
      </c>
      <c r="D14" t="s">
        <v>144</v>
      </c>
      <c r="E14" t="s">
        <v>145</v>
      </c>
      <c r="F14" t="s">
        <v>16</v>
      </c>
      <c r="G14" s="2">
        <v>100</v>
      </c>
      <c r="H14" s="2">
        <v>96</v>
      </c>
      <c r="I14" t="s">
        <v>268</v>
      </c>
      <c r="J14" t="s">
        <v>175</v>
      </c>
      <c r="K14" t="s">
        <v>269</v>
      </c>
    </row>
    <row r="15" spans="1:11" x14ac:dyDescent="0.35">
      <c r="A15" t="s">
        <v>49</v>
      </c>
      <c r="B15" t="s">
        <v>12</v>
      </c>
      <c r="C15" t="s">
        <v>13</v>
      </c>
      <c r="D15" t="s">
        <v>50</v>
      </c>
      <c r="E15" t="s">
        <v>51</v>
      </c>
      <c r="F15" t="s">
        <v>16</v>
      </c>
      <c r="G15" s="2">
        <v>100</v>
      </c>
      <c r="H15" s="2">
        <v>96</v>
      </c>
      <c r="I15" t="s">
        <v>270</v>
      </c>
      <c r="J15" t="s">
        <v>271</v>
      </c>
    </row>
    <row r="16" spans="1:11" x14ac:dyDescent="0.35">
      <c r="A16" t="s">
        <v>237</v>
      </c>
      <c r="B16" t="s">
        <v>12</v>
      </c>
      <c r="C16" t="s">
        <v>13</v>
      </c>
      <c r="D16" t="s">
        <v>238</v>
      </c>
      <c r="E16" t="s">
        <v>239</v>
      </c>
      <c r="F16" t="s">
        <v>16</v>
      </c>
      <c r="G16" s="2">
        <v>100</v>
      </c>
      <c r="H16" s="2">
        <v>90</v>
      </c>
      <c r="I16" t="s">
        <v>272</v>
      </c>
      <c r="J16" t="s">
        <v>273</v>
      </c>
    </row>
    <row r="17" spans="1:11" x14ac:dyDescent="0.35">
      <c r="A17" t="s">
        <v>147</v>
      </c>
      <c r="B17" t="s">
        <v>12</v>
      </c>
      <c r="C17" t="s">
        <v>13</v>
      </c>
      <c r="D17" t="s">
        <v>148</v>
      </c>
      <c r="E17" t="s">
        <v>149</v>
      </c>
      <c r="F17" t="s">
        <v>16</v>
      </c>
      <c r="G17" s="2">
        <v>100</v>
      </c>
      <c r="H17" s="2">
        <v>90</v>
      </c>
      <c r="I17" t="s">
        <v>274</v>
      </c>
      <c r="J17" t="s">
        <v>248</v>
      </c>
    </row>
    <row r="18" spans="1:11" x14ac:dyDescent="0.35">
      <c r="A18" t="s">
        <v>88</v>
      </c>
      <c r="B18" t="s">
        <v>12</v>
      </c>
      <c r="C18" t="s">
        <v>13</v>
      </c>
      <c r="D18" t="s">
        <v>89</v>
      </c>
      <c r="E18" t="s">
        <v>90</v>
      </c>
      <c r="F18" t="s">
        <v>16</v>
      </c>
      <c r="G18" s="2">
        <v>100</v>
      </c>
      <c r="H18" s="2">
        <v>97</v>
      </c>
      <c r="I18" t="s">
        <v>275</v>
      </c>
      <c r="J18" t="s">
        <v>276</v>
      </c>
    </row>
    <row r="19" spans="1:11" x14ac:dyDescent="0.35">
      <c r="A19" t="s">
        <v>68</v>
      </c>
      <c r="B19" t="s">
        <v>12</v>
      </c>
      <c r="C19" t="s">
        <v>13</v>
      </c>
      <c r="D19" t="s">
        <v>69</v>
      </c>
      <c r="E19" t="s">
        <v>70</v>
      </c>
      <c r="F19" t="s">
        <v>16</v>
      </c>
      <c r="G19" s="2">
        <v>100</v>
      </c>
      <c r="H19" s="2">
        <v>94</v>
      </c>
      <c r="I19" t="s">
        <v>277</v>
      </c>
      <c r="J19" t="s">
        <v>278</v>
      </c>
    </row>
    <row r="20" spans="1:11" x14ac:dyDescent="0.35">
      <c r="A20" t="s">
        <v>64</v>
      </c>
      <c r="B20" t="s">
        <v>12</v>
      </c>
      <c r="C20" t="s">
        <v>13</v>
      </c>
      <c r="D20" t="s">
        <v>65</v>
      </c>
      <c r="E20" t="s">
        <v>66</v>
      </c>
      <c r="F20" t="s">
        <v>16</v>
      </c>
      <c r="G20" s="2">
        <v>100</v>
      </c>
      <c r="H20" s="2">
        <v>95</v>
      </c>
      <c r="I20" t="s">
        <v>279</v>
      </c>
      <c r="J20" t="s">
        <v>267</v>
      </c>
    </row>
    <row r="21" spans="1:11" x14ac:dyDescent="0.35">
      <c r="A21" t="s">
        <v>103</v>
      </c>
      <c r="B21" t="s">
        <v>12</v>
      </c>
      <c r="C21" t="s">
        <v>13</v>
      </c>
      <c r="D21" t="s">
        <v>104</v>
      </c>
      <c r="E21" t="s">
        <v>105</v>
      </c>
      <c r="F21" t="s">
        <v>16</v>
      </c>
      <c r="G21" s="2">
        <v>100</v>
      </c>
      <c r="H21" s="2">
        <v>95</v>
      </c>
      <c r="I21" t="s">
        <v>280</v>
      </c>
      <c r="J21" t="s">
        <v>281</v>
      </c>
    </row>
    <row r="22" spans="1:11" x14ac:dyDescent="0.35">
      <c r="A22" t="s">
        <v>127</v>
      </c>
      <c r="B22" t="s">
        <v>12</v>
      </c>
      <c r="C22" t="s">
        <v>13</v>
      </c>
      <c r="D22" t="s">
        <v>128</v>
      </c>
      <c r="E22" t="s">
        <v>129</v>
      </c>
      <c r="F22" t="s">
        <v>16</v>
      </c>
      <c r="G22" s="2">
        <v>100</v>
      </c>
      <c r="H22" s="2">
        <v>95</v>
      </c>
      <c r="I22" t="s">
        <v>282</v>
      </c>
      <c r="J22" t="s">
        <v>283</v>
      </c>
    </row>
    <row r="23" spans="1:11" x14ac:dyDescent="0.35">
      <c r="A23" t="s">
        <v>108</v>
      </c>
      <c r="B23" t="s">
        <v>12</v>
      </c>
      <c r="C23" t="s">
        <v>13</v>
      </c>
      <c r="D23" t="s">
        <v>109</v>
      </c>
      <c r="E23" t="s">
        <v>110</v>
      </c>
      <c r="F23" t="s">
        <v>16</v>
      </c>
      <c r="G23" s="2">
        <v>100</v>
      </c>
      <c r="H23" s="2">
        <v>94</v>
      </c>
      <c r="I23" t="s">
        <v>284</v>
      </c>
      <c r="J23" t="s">
        <v>285</v>
      </c>
    </row>
    <row r="24" spans="1:11" x14ac:dyDescent="0.35">
      <c r="A24" t="s">
        <v>98</v>
      </c>
      <c r="B24" t="s">
        <v>12</v>
      </c>
      <c r="C24" t="s">
        <v>13</v>
      </c>
      <c r="D24" t="s">
        <v>99</v>
      </c>
      <c r="E24" t="s">
        <v>100</v>
      </c>
      <c r="F24" t="s">
        <v>16</v>
      </c>
      <c r="G24" s="2">
        <v>100</v>
      </c>
      <c r="H24" s="2">
        <v>95</v>
      </c>
      <c r="I24" t="s">
        <v>286</v>
      </c>
      <c r="J24" t="s">
        <v>287</v>
      </c>
    </row>
    <row r="25" spans="1:11" x14ac:dyDescent="0.35">
      <c r="A25" t="s">
        <v>138</v>
      </c>
      <c r="B25" t="s">
        <v>12</v>
      </c>
      <c r="C25" t="s">
        <v>13</v>
      </c>
      <c r="D25" t="s">
        <v>139</v>
      </c>
      <c r="E25" t="s">
        <v>140</v>
      </c>
      <c r="F25" t="s">
        <v>16</v>
      </c>
      <c r="G25" s="2">
        <v>100</v>
      </c>
      <c r="H25" s="2">
        <v>95</v>
      </c>
      <c r="I25" t="s">
        <v>288</v>
      </c>
      <c r="J25" t="s">
        <v>289</v>
      </c>
    </row>
    <row r="26" spans="1:11" x14ac:dyDescent="0.35">
      <c r="A26" t="s">
        <v>54</v>
      </c>
      <c r="B26" t="s">
        <v>12</v>
      </c>
      <c r="C26" t="s">
        <v>13</v>
      </c>
      <c r="D26" t="s">
        <v>55</v>
      </c>
      <c r="E26" t="s">
        <v>56</v>
      </c>
      <c r="F26" t="s">
        <v>16</v>
      </c>
      <c r="G26" s="2">
        <v>100</v>
      </c>
      <c r="H26" s="2">
        <v>90</v>
      </c>
      <c r="I26" t="s">
        <v>290</v>
      </c>
      <c r="J26" t="s">
        <v>291</v>
      </c>
    </row>
    <row r="27" spans="1:11" x14ac:dyDescent="0.35">
      <c r="A27" t="s">
        <v>165</v>
      </c>
      <c r="B27" t="s">
        <v>12</v>
      </c>
      <c r="C27" t="s">
        <v>13</v>
      </c>
      <c r="D27" t="s">
        <v>166</v>
      </c>
      <c r="E27" t="s">
        <v>167</v>
      </c>
      <c r="F27" t="s">
        <v>16</v>
      </c>
      <c r="G27" s="2">
        <v>100</v>
      </c>
      <c r="H27" s="2">
        <v>90</v>
      </c>
      <c r="I27" t="s">
        <v>292</v>
      </c>
      <c r="J27" t="s">
        <v>283</v>
      </c>
      <c r="K27" t="s">
        <v>293</v>
      </c>
    </row>
    <row r="28" spans="1:11" x14ac:dyDescent="0.35">
      <c r="A28" t="s">
        <v>132</v>
      </c>
      <c r="B28" t="s">
        <v>12</v>
      </c>
      <c r="C28" t="s">
        <v>13</v>
      </c>
      <c r="D28" t="s">
        <v>133</v>
      </c>
      <c r="E28" t="s">
        <v>134</v>
      </c>
      <c r="F28" t="s">
        <v>16</v>
      </c>
      <c r="G28" s="2">
        <v>100</v>
      </c>
      <c r="H28" s="2">
        <v>95</v>
      </c>
      <c r="I28" t="s">
        <v>294</v>
      </c>
      <c r="J28" t="s">
        <v>295</v>
      </c>
      <c r="K28" t="s">
        <v>296</v>
      </c>
    </row>
    <row r="29" spans="1:11" x14ac:dyDescent="0.35">
      <c r="A29" t="s">
        <v>44</v>
      </c>
      <c r="B29" t="s">
        <v>12</v>
      </c>
      <c r="C29" t="s">
        <v>13</v>
      </c>
      <c r="D29" t="s">
        <v>45</v>
      </c>
      <c r="E29" t="s">
        <v>46</v>
      </c>
      <c r="F29" t="s">
        <v>16</v>
      </c>
      <c r="G29" s="2">
        <v>100</v>
      </c>
      <c r="H29" s="2">
        <v>96</v>
      </c>
      <c r="I29" t="s">
        <v>297</v>
      </c>
      <c r="J29" t="s">
        <v>298</v>
      </c>
    </row>
    <row r="30" spans="1:11" x14ac:dyDescent="0.35">
      <c r="A30" t="s">
        <v>123</v>
      </c>
      <c r="B30" t="s">
        <v>12</v>
      </c>
      <c r="C30" t="s">
        <v>13</v>
      </c>
      <c r="D30" t="s">
        <v>124</v>
      </c>
      <c r="E30" t="s">
        <v>125</v>
      </c>
      <c r="F30" t="s">
        <v>16</v>
      </c>
      <c r="G30" s="2">
        <v>100</v>
      </c>
      <c r="H30" s="2">
        <v>96</v>
      </c>
      <c r="I30" t="s">
        <v>299</v>
      </c>
      <c r="J30" t="s">
        <v>300</v>
      </c>
    </row>
    <row r="31" spans="1:11" x14ac:dyDescent="0.35">
      <c r="A31" t="s">
        <v>77</v>
      </c>
      <c r="B31" t="s">
        <v>12</v>
      </c>
      <c r="C31" t="s">
        <v>13</v>
      </c>
      <c r="D31" t="s">
        <v>78</v>
      </c>
      <c r="E31" t="s">
        <v>79</v>
      </c>
      <c r="F31" t="s">
        <v>16</v>
      </c>
      <c r="G31" s="2">
        <v>100</v>
      </c>
      <c r="H31" s="2">
        <v>90</v>
      </c>
      <c r="I31" t="s">
        <v>301</v>
      </c>
      <c r="J31" t="s">
        <v>302</v>
      </c>
    </row>
    <row r="32" spans="1:11" x14ac:dyDescent="0.35">
      <c r="A32" t="s">
        <v>232</v>
      </c>
      <c r="B32" t="s">
        <v>12</v>
      </c>
      <c r="C32" t="s">
        <v>13</v>
      </c>
      <c r="D32" t="s">
        <v>233</v>
      </c>
      <c r="E32" t="s">
        <v>234</v>
      </c>
      <c r="F32" t="s">
        <v>16</v>
      </c>
      <c r="G32" s="2">
        <v>100</v>
      </c>
      <c r="H32" s="2">
        <v>80</v>
      </c>
      <c r="I32" t="s">
        <v>303</v>
      </c>
      <c r="J32" t="s">
        <v>304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8F2D6-5529-4D2F-9C13-96F5224E5E48}">
  <sheetPr codeName="Sheet2"/>
  <dimension ref="A1:K33"/>
  <sheetViews>
    <sheetView workbookViewId="0"/>
  </sheetViews>
  <sheetFormatPr defaultRowHeight="14.5" x14ac:dyDescent="0.35"/>
  <cols>
    <col min="1" max="1" width="10.36328125" bestFit="1" customWidth="1"/>
    <col min="2" max="2" width="11" bestFit="1" customWidth="1"/>
    <col min="3" max="3" width="10.1796875" bestFit="1" customWidth="1"/>
    <col min="4" max="4" width="25.6328125" bestFit="1" customWidth="1"/>
    <col min="5" max="5" width="29.36328125" bestFit="1" customWidth="1"/>
    <col min="6" max="6" width="6.7265625" bestFit="1" customWidth="1"/>
    <col min="7" max="7" width="10.08984375" bestFit="1" customWidth="1"/>
    <col min="8" max="8" width="5.7265625" bestFit="1" customWidth="1"/>
    <col min="9" max="9" width="31.1796875" bestFit="1" customWidth="1"/>
    <col min="10" max="10" width="32.453125" bestFit="1" customWidth="1"/>
    <col min="11" max="11" width="26.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19</v>
      </c>
      <c r="B2" t="s">
        <v>12</v>
      </c>
      <c r="C2" t="s">
        <v>13</v>
      </c>
      <c r="D2" t="s">
        <v>20</v>
      </c>
      <c r="E2" t="s">
        <v>21</v>
      </c>
      <c r="F2" t="s">
        <v>16</v>
      </c>
      <c r="G2">
        <v>100</v>
      </c>
      <c r="I2" t="s">
        <v>658</v>
      </c>
      <c r="J2" t="s">
        <v>659</v>
      </c>
    </row>
    <row r="3" spans="1:11" x14ac:dyDescent="0.35">
      <c r="A3" t="s">
        <v>39</v>
      </c>
      <c r="B3" t="s">
        <v>12</v>
      </c>
      <c r="C3" t="s">
        <v>13</v>
      </c>
      <c r="D3" t="s">
        <v>40</v>
      </c>
      <c r="E3" t="s">
        <v>41</v>
      </c>
      <c r="F3" t="s">
        <v>16</v>
      </c>
      <c r="G3">
        <v>100</v>
      </c>
      <c r="I3" t="s">
        <v>660</v>
      </c>
      <c r="J3" t="s">
        <v>661</v>
      </c>
    </row>
    <row r="4" spans="1:11" x14ac:dyDescent="0.35">
      <c r="A4" t="s">
        <v>54</v>
      </c>
      <c r="B4" t="s">
        <v>12</v>
      </c>
      <c r="C4" t="s">
        <v>13</v>
      </c>
      <c r="D4" t="s">
        <v>55</v>
      </c>
      <c r="E4" t="s">
        <v>56</v>
      </c>
      <c r="F4" t="s">
        <v>16</v>
      </c>
      <c r="G4">
        <v>100</v>
      </c>
      <c r="I4" t="s">
        <v>662</v>
      </c>
      <c r="J4" t="s">
        <v>663</v>
      </c>
    </row>
    <row r="5" spans="1:11" x14ac:dyDescent="0.35">
      <c r="A5" t="s">
        <v>93</v>
      </c>
      <c r="B5" t="s">
        <v>12</v>
      </c>
      <c r="C5" t="s">
        <v>13</v>
      </c>
      <c r="D5" t="s">
        <v>94</v>
      </c>
      <c r="E5" t="s">
        <v>95</v>
      </c>
      <c r="F5" t="s">
        <v>16</v>
      </c>
      <c r="G5">
        <v>100</v>
      </c>
      <c r="I5" t="s">
        <v>664</v>
      </c>
      <c r="J5" t="s">
        <v>665</v>
      </c>
    </row>
    <row r="6" spans="1:11" x14ac:dyDescent="0.35">
      <c r="A6" t="s">
        <v>24</v>
      </c>
      <c r="B6" t="s">
        <v>12</v>
      </c>
      <c r="C6" t="s">
        <v>13</v>
      </c>
      <c r="D6" t="s">
        <v>25</v>
      </c>
      <c r="E6" t="s">
        <v>26</v>
      </c>
      <c r="F6" t="s">
        <v>16</v>
      </c>
      <c r="G6">
        <v>100</v>
      </c>
      <c r="I6" t="s">
        <v>666</v>
      </c>
      <c r="J6" t="s">
        <v>667</v>
      </c>
      <c r="K6" t="s">
        <v>246</v>
      </c>
    </row>
    <row r="7" spans="1:11" x14ac:dyDescent="0.35">
      <c r="A7" t="s">
        <v>83</v>
      </c>
      <c r="B7" t="s">
        <v>12</v>
      </c>
      <c r="C7" t="s">
        <v>13</v>
      </c>
      <c r="D7" t="s">
        <v>84</v>
      </c>
      <c r="E7" t="s">
        <v>85</v>
      </c>
      <c r="F7" t="s">
        <v>16</v>
      </c>
      <c r="G7">
        <v>100</v>
      </c>
      <c r="I7" t="s">
        <v>668</v>
      </c>
      <c r="J7" t="s">
        <v>669</v>
      </c>
    </row>
    <row r="8" spans="1:11" x14ac:dyDescent="0.35">
      <c r="A8" t="s">
        <v>72</v>
      </c>
      <c r="B8" t="s">
        <v>12</v>
      </c>
      <c r="C8" t="s">
        <v>13</v>
      </c>
      <c r="D8" t="s">
        <v>73</v>
      </c>
      <c r="E8" t="s">
        <v>74</v>
      </c>
      <c r="F8" t="s">
        <v>16</v>
      </c>
      <c r="G8">
        <v>100</v>
      </c>
      <c r="I8" t="s">
        <v>670</v>
      </c>
      <c r="J8" t="s">
        <v>671</v>
      </c>
    </row>
    <row r="9" spans="1:11" x14ac:dyDescent="0.35">
      <c r="A9" t="s">
        <v>59</v>
      </c>
      <c r="B9" t="s">
        <v>12</v>
      </c>
      <c r="C9" t="s">
        <v>13</v>
      </c>
      <c r="D9" t="s">
        <v>60</v>
      </c>
      <c r="E9" t="s">
        <v>61</v>
      </c>
      <c r="F9" t="s">
        <v>16</v>
      </c>
      <c r="G9">
        <v>100</v>
      </c>
      <c r="I9" t="s">
        <v>672</v>
      </c>
      <c r="J9" t="s">
        <v>673</v>
      </c>
    </row>
    <row r="10" spans="1:11" x14ac:dyDescent="0.35">
      <c r="A10" t="s">
        <v>68</v>
      </c>
      <c r="B10" t="s">
        <v>12</v>
      </c>
      <c r="C10" t="s">
        <v>13</v>
      </c>
      <c r="D10" t="s">
        <v>69</v>
      </c>
      <c r="E10" t="s">
        <v>70</v>
      </c>
      <c r="F10" t="s">
        <v>16</v>
      </c>
      <c r="G10">
        <v>100</v>
      </c>
      <c r="I10" t="s">
        <v>674</v>
      </c>
      <c r="J10" t="s">
        <v>675</v>
      </c>
    </row>
    <row r="11" spans="1:11" x14ac:dyDescent="0.35">
      <c r="A11" t="s">
        <v>64</v>
      </c>
      <c r="B11" t="s">
        <v>12</v>
      </c>
      <c r="C11" t="s">
        <v>13</v>
      </c>
      <c r="D11" t="s">
        <v>65</v>
      </c>
      <c r="E11" t="s">
        <v>66</v>
      </c>
      <c r="F11" t="s">
        <v>16</v>
      </c>
      <c r="G11">
        <v>100</v>
      </c>
      <c r="I11" t="s">
        <v>676</v>
      </c>
      <c r="J11" t="s">
        <v>677</v>
      </c>
    </row>
    <row r="12" spans="1:11" x14ac:dyDescent="0.35">
      <c r="A12" t="s">
        <v>143</v>
      </c>
      <c r="B12" t="s">
        <v>12</v>
      </c>
      <c r="C12" t="s">
        <v>13</v>
      </c>
      <c r="D12" t="s">
        <v>144</v>
      </c>
      <c r="E12" t="s">
        <v>145</v>
      </c>
      <c r="F12" t="s">
        <v>16</v>
      </c>
      <c r="G12">
        <v>100</v>
      </c>
      <c r="I12" t="s">
        <v>678</v>
      </c>
      <c r="J12" t="s">
        <v>679</v>
      </c>
    </row>
    <row r="13" spans="1:11" x14ac:dyDescent="0.35">
      <c r="A13" t="s">
        <v>88</v>
      </c>
      <c r="B13" t="s">
        <v>12</v>
      </c>
      <c r="C13" t="s">
        <v>13</v>
      </c>
      <c r="D13" t="s">
        <v>89</v>
      </c>
      <c r="E13" t="s">
        <v>90</v>
      </c>
      <c r="F13" t="s">
        <v>16</v>
      </c>
      <c r="G13">
        <v>100</v>
      </c>
      <c r="I13" t="s">
        <v>680</v>
      </c>
      <c r="J13" t="s">
        <v>681</v>
      </c>
    </row>
    <row r="14" spans="1:11" x14ac:dyDescent="0.35">
      <c r="A14" t="s">
        <v>98</v>
      </c>
      <c r="B14" t="s">
        <v>12</v>
      </c>
      <c r="C14" t="s">
        <v>13</v>
      </c>
      <c r="D14" t="s">
        <v>99</v>
      </c>
      <c r="E14" t="s">
        <v>100</v>
      </c>
      <c r="F14" t="s">
        <v>16</v>
      </c>
      <c r="G14">
        <v>100</v>
      </c>
      <c r="I14" t="s">
        <v>682</v>
      </c>
      <c r="J14" t="s">
        <v>683</v>
      </c>
    </row>
    <row r="15" spans="1:11" x14ac:dyDescent="0.35">
      <c r="A15" t="s">
        <v>103</v>
      </c>
      <c r="B15" t="s">
        <v>12</v>
      </c>
      <c r="C15" t="s">
        <v>13</v>
      </c>
      <c r="D15" t="s">
        <v>104</v>
      </c>
      <c r="E15" t="s">
        <v>105</v>
      </c>
      <c r="F15" t="s">
        <v>16</v>
      </c>
      <c r="G15">
        <v>100</v>
      </c>
      <c r="I15" t="s">
        <v>684</v>
      </c>
      <c r="J15" t="s">
        <v>685</v>
      </c>
    </row>
    <row r="16" spans="1:11" x14ac:dyDescent="0.35">
      <c r="A16" t="s">
        <v>123</v>
      </c>
      <c r="B16" t="s">
        <v>12</v>
      </c>
      <c r="C16" t="s">
        <v>13</v>
      </c>
      <c r="D16" t="s">
        <v>124</v>
      </c>
      <c r="E16" t="s">
        <v>125</v>
      </c>
      <c r="F16" t="s">
        <v>16</v>
      </c>
      <c r="G16">
        <v>100</v>
      </c>
      <c r="I16" t="s">
        <v>686</v>
      </c>
      <c r="J16" t="s">
        <v>687</v>
      </c>
    </row>
    <row r="17" spans="1:11" x14ac:dyDescent="0.35">
      <c r="A17" t="s">
        <v>49</v>
      </c>
      <c r="B17" t="s">
        <v>12</v>
      </c>
      <c r="C17" t="s">
        <v>13</v>
      </c>
      <c r="D17" t="s">
        <v>50</v>
      </c>
      <c r="E17" t="s">
        <v>51</v>
      </c>
      <c r="F17" t="s">
        <v>16</v>
      </c>
      <c r="G17">
        <v>100</v>
      </c>
      <c r="I17" t="s">
        <v>688</v>
      </c>
      <c r="J17" t="s">
        <v>689</v>
      </c>
    </row>
    <row r="18" spans="1:11" x14ac:dyDescent="0.35">
      <c r="A18" t="s">
        <v>44</v>
      </c>
      <c r="B18" t="s">
        <v>12</v>
      </c>
      <c r="C18" t="s">
        <v>13</v>
      </c>
      <c r="D18" t="s">
        <v>45</v>
      </c>
      <c r="E18" t="s">
        <v>46</v>
      </c>
      <c r="F18" t="s">
        <v>16</v>
      </c>
      <c r="G18">
        <v>100</v>
      </c>
      <c r="I18" t="s">
        <v>690</v>
      </c>
      <c r="J18" t="s">
        <v>691</v>
      </c>
    </row>
    <row r="19" spans="1:11" x14ac:dyDescent="0.35">
      <c r="A19" t="s">
        <v>165</v>
      </c>
      <c r="B19" t="s">
        <v>12</v>
      </c>
      <c r="C19" t="s">
        <v>13</v>
      </c>
      <c r="D19" t="s">
        <v>166</v>
      </c>
      <c r="E19" t="s">
        <v>167</v>
      </c>
      <c r="F19" t="s">
        <v>16</v>
      </c>
      <c r="G19">
        <v>100</v>
      </c>
      <c r="I19" t="s">
        <v>692</v>
      </c>
      <c r="J19" t="s">
        <v>693</v>
      </c>
    </row>
    <row r="20" spans="1:11" x14ac:dyDescent="0.35">
      <c r="A20" t="s">
        <v>108</v>
      </c>
      <c r="B20" t="s">
        <v>12</v>
      </c>
      <c r="C20" t="s">
        <v>13</v>
      </c>
      <c r="D20" t="s">
        <v>109</v>
      </c>
      <c r="E20" t="s">
        <v>110</v>
      </c>
      <c r="F20" t="s">
        <v>16</v>
      </c>
      <c r="G20">
        <v>100</v>
      </c>
      <c r="I20" t="s">
        <v>694</v>
      </c>
      <c r="J20" t="s">
        <v>695</v>
      </c>
    </row>
    <row r="21" spans="1:11" x14ac:dyDescent="0.35">
      <c r="A21" t="s">
        <v>113</v>
      </c>
      <c r="B21" t="s">
        <v>12</v>
      </c>
      <c r="C21" t="s">
        <v>13</v>
      </c>
      <c r="D21" t="s">
        <v>114</v>
      </c>
      <c r="E21" t="s">
        <v>115</v>
      </c>
      <c r="F21" t="s">
        <v>16</v>
      </c>
      <c r="G21">
        <v>100</v>
      </c>
      <c r="I21" t="s">
        <v>696</v>
      </c>
      <c r="J21" t="s">
        <v>697</v>
      </c>
    </row>
    <row r="22" spans="1:11" x14ac:dyDescent="0.35">
      <c r="A22" t="s">
        <v>232</v>
      </c>
      <c r="B22" t="s">
        <v>12</v>
      </c>
      <c r="C22" t="s">
        <v>13</v>
      </c>
      <c r="D22" t="s">
        <v>233</v>
      </c>
      <c r="E22" t="s">
        <v>234</v>
      </c>
      <c r="F22" t="s">
        <v>16</v>
      </c>
      <c r="G22">
        <v>100</v>
      </c>
      <c r="I22" t="s">
        <v>698</v>
      </c>
      <c r="J22" t="s">
        <v>699</v>
      </c>
    </row>
    <row r="23" spans="1:11" x14ac:dyDescent="0.35">
      <c r="A23" t="s">
        <v>30</v>
      </c>
      <c r="B23" t="s">
        <v>12</v>
      </c>
      <c r="C23" t="s">
        <v>13</v>
      </c>
      <c r="D23" t="s">
        <v>31</v>
      </c>
      <c r="E23" t="s">
        <v>32</v>
      </c>
      <c r="F23" t="s">
        <v>16</v>
      </c>
      <c r="G23">
        <v>100</v>
      </c>
      <c r="I23" t="s">
        <v>700</v>
      </c>
      <c r="J23" t="s">
        <v>701</v>
      </c>
    </row>
    <row r="24" spans="1:11" x14ac:dyDescent="0.35">
      <c r="A24" t="s">
        <v>152</v>
      </c>
      <c r="B24" t="s">
        <v>12</v>
      </c>
      <c r="C24" t="s">
        <v>13</v>
      </c>
      <c r="D24" t="s">
        <v>153</v>
      </c>
      <c r="E24" t="s">
        <v>154</v>
      </c>
      <c r="F24" t="s">
        <v>16</v>
      </c>
      <c r="G24">
        <v>100</v>
      </c>
      <c r="I24" t="s">
        <v>700</v>
      </c>
      <c r="J24" t="s">
        <v>702</v>
      </c>
    </row>
    <row r="25" spans="1:11" x14ac:dyDescent="0.35">
      <c r="A25" t="s">
        <v>118</v>
      </c>
      <c r="B25" t="s">
        <v>12</v>
      </c>
      <c r="C25" t="s">
        <v>13</v>
      </c>
      <c r="D25" t="s">
        <v>119</v>
      </c>
      <c r="E25" t="s">
        <v>120</v>
      </c>
      <c r="F25" t="s">
        <v>16</v>
      </c>
      <c r="G25">
        <v>100</v>
      </c>
      <c r="I25" t="s">
        <v>703</v>
      </c>
      <c r="J25" t="s">
        <v>704</v>
      </c>
    </row>
    <row r="26" spans="1:11" x14ac:dyDescent="0.35">
      <c r="A26" t="s">
        <v>159</v>
      </c>
      <c r="B26" t="s">
        <v>12</v>
      </c>
      <c r="C26" t="s">
        <v>13</v>
      </c>
      <c r="D26" t="s">
        <v>160</v>
      </c>
      <c r="E26" t="s">
        <v>161</v>
      </c>
      <c r="F26" t="s">
        <v>16</v>
      </c>
      <c r="G26">
        <v>100</v>
      </c>
      <c r="I26" t="s">
        <v>705</v>
      </c>
      <c r="J26" t="s">
        <v>706</v>
      </c>
      <c r="K26" t="s">
        <v>707</v>
      </c>
    </row>
    <row r="27" spans="1:11" x14ac:dyDescent="0.35">
      <c r="A27" t="s">
        <v>237</v>
      </c>
      <c r="B27" t="s">
        <v>12</v>
      </c>
      <c r="C27" t="s">
        <v>13</v>
      </c>
      <c r="D27" t="s">
        <v>238</v>
      </c>
      <c r="E27" t="s">
        <v>239</v>
      </c>
      <c r="F27" t="s">
        <v>16</v>
      </c>
      <c r="G27">
        <v>100</v>
      </c>
      <c r="I27" t="s">
        <v>270</v>
      </c>
      <c r="J27" t="s">
        <v>708</v>
      </c>
    </row>
    <row r="28" spans="1:11" x14ac:dyDescent="0.35">
      <c r="A28" t="s">
        <v>147</v>
      </c>
      <c r="B28" t="s">
        <v>12</v>
      </c>
      <c r="C28" t="s">
        <v>13</v>
      </c>
      <c r="D28" t="s">
        <v>148</v>
      </c>
      <c r="E28" t="s">
        <v>149</v>
      </c>
      <c r="F28" t="s">
        <v>16</v>
      </c>
      <c r="G28">
        <v>100</v>
      </c>
      <c r="I28" t="s">
        <v>709</v>
      </c>
      <c r="J28" t="s">
        <v>710</v>
      </c>
    </row>
    <row r="29" spans="1:11" x14ac:dyDescent="0.35">
      <c r="A29" t="s">
        <v>127</v>
      </c>
      <c r="B29" t="s">
        <v>12</v>
      </c>
      <c r="C29" t="s">
        <v>13</v>
      </c>
      <c r="D29" t="s">
        <v>128</v>
      </c>
      <c r="E29" t="s">
        <v>129</v>
      </c>
      <c r="F29" t="s">
        <v>16</v>
      </c>
      <c r="G29">
        <v>100</v>
      </c>
      <c r="I29" t="s">
        <v>711</v>
      </c>
      <c r="J29" t="s">
        <v>712</v>
      </c>
    </row>
    <row r="30" spans="1:11" x14ac:dyDescent="0.35">
      <c r="A30" t="s">
        <v>138</v>
      </c>
      <c r="B30" t="s">
        <v>12</v>
      </c>
      <c r="C30" t="s">
        <v>13</v>
      </c>
      <c r="D30" t="s">
        <v>139</v>
      </c>
      <c r="E30" t="s">
        <v>140</v>
      </c>
      <c r="F30" t="s">
        <v>16</v>
      </c>
      <c r="G30">
        <v>100</v>
      </c>
      <c r="I30" t="s">
        <v>713</v>
      </c>
      <c r="J30" t="s">
        <v>714</v>
      </c>
    </row>
    <row r="31" spans="1:11" x14ac:dyDescent="0.35">
      <c r="A31" t="s">
        <v>192</v>
      </c>
      <c r="B31" t="s">
        <v>12</v>
      </c>
      <c r="C31" t="s">
        <v>13</v>
      </c>
      <c r="D31" t="s">
        <v>193</v>
      </c>
      <c r="E31" t="s">
        <v>194</v>
      </c>
      <c r="F31" t="s">
        <v>16</v>
      </c>
      <c r="G31">
        <v>100</v>
      </c>
      <c r="I31" t="s">
        <v>715</v>
      </c>
      <c r="J31" t="s">
        <v>716</v>
      </c>
    </row>
    <row r="32" spans="1:11" x14ac:dyDescent="0.35">
      <c r="A32" t="s">
        <v>132</v>
      </c>
      <c r="B32" t="s">
        <v>12</v>
      </c>
      <c r="C32" t="s">
        <v>13</v>
      </c>
      <c r="D32" t="s">
        <v>133</v>
      </c>
      <c r="E32" t="s">
        <v>134</v>
      </c>
      <c r="F32" t="s">
        <v>16</v>
      </c>
      <c r="G32">
        <v>100</v>
      </c>
      <c r="I32" t="s">
        <v>717</v>
      </c>
      <c r="J32" t="s">
        <v>718</v>
      </c>
      <c r="K32" t="s">
        <v>719</v>
      </c>
    </row>
    <row r="33" spans="1:10" x14ac:dyDescent="0.35">
      <c r="A33" t="s">
        <v>77</v>
      </c>
      <c r="B33" t="s">
        <v>12</v>
      </c>
      <c r="C33" t="s">
        <v>13</v>
      </c>
      <c r="D33" t="s">
        <v>78</v>
      </c>
      <c r="E33" t="s">
        <v>79</v>
      </c>
      <c r="F33" t="s">
        <v>16</v>
      </c>
      <c r="G33">
        <v>100</v>
      </c>
      <c r="I33" t="s">
        <v>720</v>
      </c>
      <c r="J33" t="s">
        <v>721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075C-E056-4E3C-80A5-AEE008637793}">
  <dimension ref="A1:K34"/>
  <sheetViews>
    <sheetView workbookViewId="0">
      <selection activeCell="H6" sqref="H6"/>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19</v>
      </c>
      <c r="B2" t="s">
        <v>12</v>
      </c>
      <c r="C2" t="s">
        <v>13</v>
      </c>
      <c r="D2" t="s">
        <v>20</v>
      </c>
      <c r="E2" t="s">
        <v>21</v>
      </c>
      <c r="F2" t="s">
        <v>16</v>
      </c>
      <c r="G2" s="2">
        <v>100</v>
      </c>
      <c r="H2" s="2">
        <v>95</v>
      </c>
      <c r="I2" t="s">
        <v>305</v>
      </c>
      <c r="J2" t="s">
        <v>306</v>
      </c>
    </row>
    <row r="3" spans="1:11" x14ac:dyDescent="0.35">
      <c r="A3" t="s">
        <v>165</v>
      </c>
      <c r="B3" t="s">
        <v>12</v>
      </c>
      <c r="C3" t="s">
        <v>13</v>
      </c>
      <c r="D3" t="s">
        <v>166</v>
      </c>
      <c r="E3" t="s">
        <v>167</v>
      </c>
      <c r="F3" t="s">
        <v>16</v>
      </c>
      <c r="G3" s="2">
        <v>100</v>
      </c>
      <c r="H3" s="2">
        <v>95</v>
      </c>
      <c r="I3" t="s">
        <v>307</v>
      </c>
      <c r="J3" t="s">
        <v>308</v>
      </c>
      <c r="K3" t="s">
        <v>309</v>
      </c>
    </row>
    <row r="4" spans="1:11" x14ac:dyDescent="0.35">
      <c r="A4" t="s">
        <v>93</v>
      </c>
      <c r="B4" t="s">
        <v>12</v>
      </c>
      <c r="C4" t="s">
        <v>13</v>
      </c>
      <c r="D4" t="s">
        <v>94</v>
      </c>
      <c r="E4" t="s">
        <v>95</v>
      </c>
      <c r="F4" t="s">
        <v>16</v>
      </c>
      <c r="G4" s="2">
        <v>100</v>
      </c>
      <c r="H4" s="2">
        <v>95</v>
      </c>
      <c r="I4" t="s">
        <v>310</v>
      </c>
      <c r="J4" t="s">
        <v>311</v>
      </c>
    </row>
    <row r="5" spans="1:11" x14ac:dyDescent="0.35">
      <c r="A5" t="s">
        <v>143</v>
      </c>
      <c r="B5" t="s">
        <v>12</v>
      </c>
      <c r="C5" t="s">
        <v>13</v>
      </c>
      <c r="D5" t="s">
        <v>144</v>
      </c>
      <c r="E5" t="s">
        <v>145</v>
      </c>
      <c r="F5" t="s">
        <v>16</v>
      </c>
      <c r="G5" s="2">
        <v>100</v>
      </c>
      <c r="H5" s="2">
        <v>95</v>
      </c>
      <c r="I5" t="s">
        <v>312</v>
      </c>
      <c r="J5" t="s">
        <v>313</v>
      </c>
    </row>
    <row r="6" spans="1:11" x14ac:dyDescent="0.35">
      <c r="A6" t="s">
        <v>49</v>
      </c>
      <c r="B6" t="s">
        <v>12</v>
      </c>
      <c r="C6" t="s">
        <v>13</v>
      </c>
      <c r="D6" t="s">
        <v>50</v>
      </c>
      <c r="E6" t="s">
        <v>51</v>
      </c>
      <c r="F6" t="s">
        <v>16</v>
      </c>
      <c r="G6" s="2">
        <v>100</v>
      </c>
      <c r="H6" s="2">
        <v>95</v>
      </c>
      <c r="I6" t="s">
        <v>314</v>
      </c>
      <c r="J6" t="s">
        <v>315</v>
      </c>
    </row>
    <row r="7" spans="1:11" x14ac:dyDescent="0.35">
      <c r="A7" t="s">
        <v>59</v>
      </c>
      <c r="B7" t="s">
        <v>12</v>
      </c>
      <c r="C7" t="s">
        <v>13</v>
      </c>
      <c r="D7" t="s">
        <v>60</v>
      </c>
      <c r="E7" t="s">
        <v>61</v>
      </c>
      <c r="F7" t="s">
        <v>16</v>
      </c>
      <c r="G7" s="2">
        <v>100</v>
      </c>
      <c r="H7" s="2">
        <v>95</v>
      </c>
      <c r="I7" t="s">
        <v>316</v>
      </c>
      <c r="J7" t="s">
        <v>317</v>
      </c>
    </row>
    <row r="8" spans="1:11" x14ac:dyDescent="0.35">
      <c r="A8" t="s">
        <v>138</v>
      </c>
      <c r="B8" t="s">
        <v>12</v>
      </c>
      <c r="C8" t="s">
        <v>13</v>
      </c>
      <c r="D8" t="s">
        <v>139</v>
      </c>
      <c r="E8" t="s">
        <v>140</v>
      </c>
      <c r="F8" t="s">
        <v>16</v>
      </c>
      <c r="G8" s="2">
        <v>100</v>
      </c>
      <c r="H8" s="2">
        <v>95</v>
      </c>
      <c r="I8" t="s">
        <v>318</v>
      </c>
      <c r="J8" t="s">
        <v>319</v>
      </c>
    </row>
    <row r="9" spans="1:11" x14ac:dyDescent="0.35">
      <c r="A9" t="s">
        <v>30</v>
      </c>
      <c r="B9" t="s">
        <v>12</v>
      </c>
      <c r="C9" t="s">
        <v>13</v>
      </c>
      <c r="D9" t="s">
        <v>31</v>
      </c>
      <c r="E9" t="s">
        <v>32</v>
      </c>
      <c r="F9" t="s">
        <v>16</v>
      </c>
      <c r="G9" s="2">
        <v>100</v>
      </c>
      <c r="H9" s="2">
        <v>95</v>
      </c>
      <c r="I9" t="s">
        <v>320</v>
      </c>
      <c r="J9" t="s">
        <v>321</v>
      </c>
      <c r="K9" t="s">
        <v>322</v>
      </c>
    </row>
    <row r="10" spans="1:11" x14ac:dyDescent="0.35">
      <c r="A10" t="s">
        <v>159</v>
      </c>
      <c r="B10" t="s">
        <v>12</v>
      </c>
      <c r="C10" t="s">
        <v>13</v>
      </c>
      <c r="D10" t="s">
        <v>160</v>
      </c>
      <c r="E10" t="s">
        <v>161</v>
      </c>
      <c r="F10" t="s">
        <v>16</v>
      </c>
      <c r="G10" s="2">
        <v>100</v>
      </c>
      <c r="H10" s="2">
        <v>95</v>
      </c>
      <c r="I10" t="s">
        <v>323</v>
      </c>
      <c r="J10" t="s">
        <v>324</v>
      </c>
      <c r="K10" t="s">
        <v>325</v>
      </c>
    </row>
    <row r="11" spans="1:11" x14ac:dyDescent="0.35">
      <c r="A11" t="s">
        <v>39</v>
      </c>
      <c r="B11" t="s">
        <v>12</v>
      </c>
      <c r="C11" t="s">
        <v>13</v>
      </c>
      <c r="D11" t="s">
        <v>40</v>
      </c>
      <c r="E11" t="s">
        <v>41</v>
      </c>
      <c r="F11" t="s">
        <v>16</v>
      </c>
      <c r="G11" s="2">
        <v>100</v>
      </c>
      <c r="H11" s="2">
        <v>90</v>
      </c>
      <c r="I11" t="s">
        <v>326</v>
      </c>
      <c r="J11" t="s">
        <v>327</v>
      </c>
    </row>
    <row r="12" spans="1:11" x14ac:dyDescent="0.35">
      <c r="A12" t="s">
        <v>123</v>
      </c>
      <c r="B12" t="s">
        <v>12</v>
      </c>
      <c r="C12" t="s">
        <v>13</v>
      </c>
      <c r="D12" t="s">
        <v>124</v>
      </c>
      <c r="E12" t="s">
        <v>125</v>
      </c>
      <c r="F12" t="s">
        <v>16</v>
      </c>
      <c r="G12" s="2">
        <v>100</v>
      </c>
      <c r="H12" s="2">
        <v>95</v>
      </c>
      <c r="I12" t="s">
        <v>328</v>
      </c>
      <c r="J12" t="s">
        <v>329</v>
      </c>
    </row>
    <row r="13" spans="1:11" x14ac:dyDescent="0.35">
      <c r="A13" t="s">
        <v>24</v>
      </c>
      <c r="B13" t="s">
        <v>12</v>
      </c>
      <c r="C13" t="s">
        <v>13</v>
      </c>
      <c r="D13" t="s">
        <v>25</v>
      </c>
      <c r="E13" t="s">
        <v>26</v>
      </c>
      <c r="F13" t="s">
        <v>16</v>
      </c>
      <c r="G13" s="2">
        <v>100</v>
      </c>
      <c r="H13" s="2">
        <v>96</v>
      </c>
      <c r="I13" t="s">
        <v>330</v>
      </c>
      <c r="J13" t="s">
        <v>331</v>
      </c>
    </row>
    <row r="14" spans="1:11" x14ac:dyDescent="0.35">
      <c r="A14" t="s">
        <v>113</v>
      </c>
      <c r="B14" t="s">
        <v>12</v>
      </c>
      <c r="C14" t="s">
        <v>13</v>
      </c>
      <c r="D14" t="s">
        <v>114</v>
      </c>
      <c r="E14" t="s">
        <v>115</v>
      </c>
      <c r="F14" t="s">
        <v>16</v>
      </c>
      <c r="G14" s="2">
        <v>100</v>
      </c>
      <c r="H14" s="2">
        <v>95</v>
      </c>
      <c r="I14" t="s">
        <v>332</v>
      </c>
      <c r="J14" t="s">
        <v>333</v>
      </c>
    </row>
    <row r="15" spans="1:11" x14ac:dyDescent="0.35">
      <c r="A15" t="s">
        <v>118</v>
      </c>
      <c r="B15" t="s">
        <v>12</v>
      </c>
      <c r="C15" t="s">
        <v>13</v>
      </c>
      <c r="D15" t="s">
        <v>119</v>
      </c>
      <c r="E15" t="s">
        <v>120</v>
      </c>
      <c r="F15" t="s">
        <v>16</v>
      </c>
      <c r="G15" s="2">
        <v>100</v>
      </c>
      <c r="H15" s="2">
        <v>95</v>
      </c>
      <c r="I15" t="s">
        <v>334</v>
      </c>
      <c r="J15" t="s">
        <v>335</v>
      </c>
    </row>
    <row r="16" spans="1:11" x14ac:dyDescent="0.35">
      <c r="A16" t="s">
        <v>152</v>
      </c>
      <c r="B16" t="s">
        <v>12</v>
      </c>
      <c r="C16" t="s">
        <v>13</v>
      </c>
      <c r="D16" t="s">
        <v>153</v>
      </c>
      <c r="E16" t="s">
        <v>154</v>
      </c>
      <c r="F16" t="s">
        <v>16</v>
      </c>
      <c r="G16" s="2">
        <v>100</v>
      </c>
      <c r="H16" s="2">
        <v>95</v>
      </c>
      <c r="I16" t="s">
        <v>336</v>
      </c>
      <c r="J16" t="s">
        <v>337</v>
      </c>
    </row>
    <row r="17" spans="1:11" x14ac:dyDescent="0.35">
      <c r="A17" t="s">
        <v>68</v>
      </c>
      <c r="B17" t="s">
        <v>12</v>
      </c>
      <c r="C17" t="s">
        <v>13</v>
      </c>
      <c r="D17" t="s">
        <v>69</v>
      </c>
      <c r="E17" t="s">
        <v>70</v>
      </c>
      <c r="F17" t="s">
        <v>16</v>
      </c>
      <c r="G17" s="2">
        <v>100</v>
      </c>
      <c r="H17" s="2">
        <v>95</v>
      </c>
      <c r="I17" t="s">
        <v>338</v>
      </c>
      <c r="J17" t="s">
        <v>317</v>
      </c>
    </row>
    <row r="18" spans="1:11" x14ac:dyDescent="0.35">
      <c r="A18" t="s">
        <v>232</v>
      </c>
      <c r="B18" t="s">
        <v>12</v>
      </c>
      <c r="C18" t="s">
        <v>13</v>
      </c>
      <c r="D18" t="s">
        <v>233</v>
      </c>
      <c r="E18" t="s">
        <v>234</v>
      </c>
      <c r="F18" t="s">
        <v>16</v>
      </c>
      <c r="G18" s="2">
        <v>100</v>
      </c>
      <c r="H18" s="2">
        <v>95</v>
      </c>
      <c r="I18" t="s">
        <v>339</v>
      </c>
      <c r="J18" t="s">
        <v>340</v>
      </c>
    </row>
    <row r="19" spans="1:11" x14ac:dyDescent="0.35">
      <c r="A19" t="s">
        <v>98</v>
      </c>
      <c r="B19" t="s">
        <v>12</v>
      </c>
      <c r="C19" t="s">
        <v>13</v>
      </c>
      <c r="D19" t="s">
        <v>99</v>
      </c>
      <c r="E19" t="s">
        <v>100</v>
      </c>
      <c r="F19" t="s">
        <v>16</v>
      </c>
      <c r="G19" s="2">
        <v>100</v>
      </c>
      <c r="H19" s="2">
        <v>95</v>
      </c>
      <c r="I19" t="s">
        <v>341</v>
      </c>
      <c r="J19" t="s">
        <v>342</v>
      </c>
    </row>
    <row r="20" spans="1:11" x14ac:dyDescent="0.35">
      <c r="A20" t="s">
        <v>192</v>
      </c>
      <c r="B20" t="s">
        <v>12</v>
      </c>
      <c r="C20" t="s">
        <v>13</v>
      </c>
      <c r="D20" t="s">
        <v>193</v>
      </c>
      <c r="E20" t="s">
        <v>194</v>
      </c>
      <c r="F20" t="s">
        <v>16</v>
      </c>
      <c r="G20" s="2">
        <v>100</v>
      </c>
      <c r="H20" s="2">
        <v>95</v>
      </c>
      <c r="I20" t="s">
        <v>343</v>
      </c>
      <c r="J20" t="s">
        <v>344</v>
      </c>
    </row>
    <row r="21" spans="1:11" x14ac:dyDescent="0.35">
      <c r="A21" t="s">
        <v>108</v>
      </c>
      <c r="B21" t="s">
        <v>12</v>
      </c>
      <c r="C21" t="s">
        <v>13</v>
      </c>
      <c r="D21" t="s">
        <v>109</v>
      </c>
      <c r="E21" t="s">
        <v>110</v>
      </c>
      <c r="F21" t="s">
        <v>16</v>
      </c>
      <c r="G21" s="2">
        <v>100</v>
      </c>
      <c r="H21" s="2">
        <v>95</v>
      </c>
      <c r="I21" t="s">
        <v>345</v>
      </c>
      <c r="J21" t="s">
        <v>346</v>
      </c>
    </row>
    <row r="22" spans="1:11" x14ac:dyDescent="0.35">
      <c r="A22" t="s">
        <v>132</v>
      </c>
      <c r="B22" t="s">
        <v>12</v>
      </c>
      <c r="C22" t="s">
        <v>13</v>
      </c>
      <c r="D22" t="s">
        <v>133</v>
      </c>
      <c r="E22" t="s">
        <v>134</v>
      </c>
      <c r="F22" t="s">
        <v>16</v>
      </c>
      <c r="G22" s="2">
        <v>100</v>
      </c>
      <c r="H22" s="2">
        <v>95</v>
      </c>
      <c r="I22" t="s">
        <v>347</v>
      </c>
      <c r="J22" t="s">
        <v>348</v>
      </c>
      <c r="K22" t="s">
        <v>349</v>
      </c>
    </row>
    <row r="23" spans="1:11" x14ac:dyDescent="0.35">
      <c r="A23" t="s">
        <v>103</v>
      </c>
      <c r="B23" t="s">
        <v>12</v>
      </c>
      <c r="C23" t="s">
        <v>13</v>
      </c>
      <c r="D23" t="s">
        <v>104</v>
      </c>
      <c r="E23" t="s">
        <v>105</v>
      </c>
      <c r="F23" t="s">
        <v>16</v>
      </c>
      <c r="G23" s="2">
        <v>100</v>
      </c>
      <c r="H23" s="2">
        <v>95</v>
      </c>
      <c r="I23" t="s">
        <v>350</v>
      </c>
      <c r="J23" t="s">
        <v>351</v>
      </c>
    </row>
    <row r="24" spans="1:11" x14ac:dyDescent="0.35">
      <c r="A24" t="s">
        <v>83</v>
      </c>
      <c r="B24" t="s">
        <v>12</v>
      </c>
      <c r="C24" t="s">
        <v>13</v>
      </c>
      <c r="D24" t="s">
        <v>84</v>
      </c>
      <c r="E24" t="s">
        <v>85</v>
      </c>
      <c r="F24" t="s">
        <v>16</v>
      </c>
      <c r="G24" s="2">
        <v>100</v>
      </c>
      <c r="H24" s="2">
        <v>95</v>
      </c>
      <c r="I24" t="s">
        <v>352</v>
      </c>
      <c r="J24" t="s">
        <v>353</v>
      </c>
    </row>
    <row r="25" spans="1:11" x14ac:dyDescent="0.35">
      <c r="A25" t="s">
        <v>72</v>
      </c>
      <c r="B25" t="s">
        <v>12</v>
      </c>
      <c r="C25" t="s">
        <v>13</v>
      </c>
      <c r="D25" t="s">
        <v>73</v>
      </c>
      <c r="E25" t="s">
        <v>74</v>
      </c>
      <c r="F25" t="s">
        <v>16</v>
      </c>
      <c r="G25" s="2">
        <v>100</v>
      </c>
      <c r="H25" s="2">
        <v>95</v>
      </c>
      <c r="I25" t="s">
        <v>354</v>
      </c>
      <c r="J25" t="s">
        <v>355</v>
      </c>
    </row>
    <row r="26" spans="1:11" x14ac:dyDescent="0.35">
      <c r="A26" t="s">
        <v>64</v>
      </c>
      <c r="B26" t="s">
        <v>12</v>
      </c>
      <c r="C26" t="s">
        <v>13</v>
      </c>
      <c r="D26" t="s">
        <v>65</v>
      </c>
      <c r="E26" t="s">
        <v>66</v>
      </c>
      <c r="F26" t="s">
        <v>16</v>
      </c>
      <c r="G26" s="2">
        <v>100</v>
      </c>
      <c r="H26" s="2">
        <v>95</v>
      </c>
      <c r="I26" t="s">
        <v>356</v>
      </c>
      <c r="J26" t="s">
        <v>317</v>
      </c>
    </row>
    <row r="27" spans="1:11" x14ac:dyDescent="0.35">
      <c r="A27" t="s">
        <v>127</v>
      </c>
      <c r="B27" t="s">
        <v>12</v>
      </c>
      <c r="C27" t="s">
        <v>13</v>
      </c>
      <c r="D27" t="s">
        <v>128</v>
      </c>
      <c r="E27" t="s">
        <v>129</v>
      </c>
      <c r="F27" t="s">
        <v>16</v>
      </c>
      <c r="G27" s="2">
        <v>100</v>
      </c>
      <c r="H27" s="2">
        <v>95</v>
      </c>
      <c r="I27" t="s">
        <v>357</v>
      </c>
      <c r="J27" t="s">
        <v>358</v>
      </c>
    </row>
    <row r="28" spans="1:11" x14ac:dyDescent="0.35">
      <c r="A28" t="s">
        <v>88</v>
      </c>
      <c r="B28" t="s">
        <v>12</v>
      </c>
      <c r="C28" t="s">
        <v>13</v>
      </c>
      <c r="D28" t="s">
        <v>89</v>
      </c>
      <c r="E28" t="s">
        <v>90</v>
      </c>
      <c r="F28" t="s">
        <v>16</v>
      </c>
      <c r="G28" s="2">
        <v>100</v>
      </c>
      <c r="H28" s="2">
        <v>95</v>
      </c>
      <c r="I28" t="s">
        <v>359</v>
      </c>
      <c r="J28" t="s">
        <v>360</v>
      </c>
    </row>
    <row r="29" spans="1:11" x14ac:dyDescent="0.35">
      <c r="A29" t="s">
        <v>237</v>
      </c>
      <c r="B29" t="s">
        <v>12</v>
      </c>
      <c r="C29" t="s">
        <v>13</v>
      </c>
      <c r="D29" t="s">
        <v>238</v>
      </c>
      <c r="E29" t="s">
        <v>239</v>
      </c>
      <c r="F29" t="s">
        <v>16</v>
      </c>
      <c r="G29" s="2">
        <v>100</v>
      </c>
      <c r="H29" s="2">
        <v>95</v>
      </c>
      <c r="I29" t="s">
        <v>361</v>
      </c>
      <c r="J29" t="s">
        <v>362</v>
      </c>
    </row>
    <row r="30" spans="1:11" x14ac:dyDescent="0.35">
      <c r="A30" t="s">
        <v>147</v>
      </c>
      <c r="B30" t="s">
        <v>12</v>
      </c>
      <c r="C30" t="s">
        <v>13</v>
      </c>
      <c r="D30" t="s">
        <v>148</v>
      </c>
      <c r="E30" t="s">
        <v>149</v>
      </c>
      <c r="F30" t="s">
        <v>16</v>
      </c>
      <c r="G30" s="2">
        <v>100</v>
      </c>
      <c r="H30" s="2">
        <v>95</v>
      </c>
      <c r="I30" t="s">
        <v>363</v>
      </c>
      <c r="J30" t="s">
        <v>364</v>
      </c>
    </row>
    <row r="31" spans="1:11" x14ac:dyDescent="0.35">
      <c r="A31" t="s">
        <v>44</v>
      </c>
      <c r="B31" t="s">
        <v>12</v>
      </c>
      <c r="C31" t="s">
        <v>13</v>
      </c>
      <c r="D31" t="s">
        <v>45</v>
      </c>
      <c r="E31" t="s">
        <v>46</v>
      </c>
      <c r="F31" t="s">
        <v>16</v>
      </c>
      <c r="G31" s="2">
        <v>100</v>
      </c>
      <c r="H31" s="2">
        <v>95</v>
      </c>
      <c r="I31" t="s">
        <v>365</v>
      </c>
      <c r="J31" t="s">
        <v>366</v>
      </c>
    </row>
    <row r="32" spans="1:11" x14ac:dyDescent="0.35">
      <c r="A32" t="s">
        <v>54</v>
      </c>
      <c r="B32" t="s">
        <v>12</v>
      </c>
      <c r="C32" t="s">
        <v>13</v>
      </c>
      <c r="D32" t="s">
        <v>55</v>
      </c>
      <c r="E32" t="s">
        <v>56</v>
      </c>
      <c r="F32" t="s">
        <v>16</v>
      </c>
      <c r="G32" s="2">
        <v>100</v>
      </c>
      <c r="H32" s="2">
        <v>95</v>
      </c>
      <c r="I32" t="s">
        <v>367</v>
      </c>
      <c r="J32" t="s">
        <v>368</v>
      </c>
    </row>
    <row r="33" spans="1:11" x14ac:dyDescent="0.35">
      <c r="A33" t="s">
        <v>369</v>
      </c>
      <c r="B33" t="s">
        <v>12</v>
      </c>
      <c r="C33" t="s">
        <v>13</v>
      </c>
      <c r="D33" t="s">
        <v>370</v>
      </c>
      <c r="E33" t="s">
        <v>371</v>
      </c>
      <c r="F33" t="s">
        <v>16</v>
      </c>
      <c r="G33" s="2">
        <v>100</v>
      </c>
      <c r="H33" s="2">
        <v>95</v>
      </c>
      <c r="I33" t="s">
        <v>372</v>
      </c>
      <c r="J33" t="s">
        <v>358</v>
      </c>
    </row>
    <row r="34" spans="1:11" x14ac:dyDescent="0.35">
      <c r="A34" t="s">
        <v>77</v>
      </c>
      <c r="B34" t="s">
        <v>12</v>
      </c>
      <c r="C34" t="s">
        <v>13</v>
      </c>
      <c r="D34" t="s">
        <v>78</v>
      </c>
      <c r="E34" t="s">
        <v>79</v>
      </c>
      <c r="F34" t="s">
        <v>16</v>
      </c>
      <c r="G34" s="2">
        <v>100</v>
      </c>
      <c r="H34" s="2">
        <v>95</v>
      </c>
      <c r="I34" t="s">
        <v>373</v>
      </c>
      <c r="J34" t="s">
        <v>374</v>
      </c>
      <c r="K34" t="s">
        <v>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8F3F-1CDB-45D9-A45C-C0A8646FDB5C}">
  <dimension ref="A1:K34"/>
  <sheetViews>
    <sheetView workbookViewId="0">
      <selection activeCell="J7" sqref="J7"/>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165</v>
      </c>
      <c r="B2" t="s">
        <v>12</v>
      </c>
      <c r="C2" t="s">
        <v>13</v>
      </c>
      <c r="D2" t="s">
        <v>166</v>
      </c>
      <c r="E2" t="s">
        <v>167</v>
      </c>
      <c r="F2" t="s">
        <v>16</v>
      </c>
      <c r="G2" s="2">
        <v>100</v>
      </c>
      <c r="H2" s="2">
        <v>90</v>
      </c>
      <c r="I2" t="s">
        <v>376</v>
      </c>
      <c r="J2" t="s">
        <v>377</v>
      </c>
      <c r="K2" t="s">
        <v>378</v>
      </c>
    </row>
    <row r="3" spans="1:11" x14ac:dyDescent="0.35">
      <c r="A3" t="s">
        <v>19</v>
      </c>
      <c r="B3" t="s">
        <v>12</v>
      </c>
      <c r="C3" t="s">
        <v>13</v>
      </c>
      <c r="D3" t="s">
        <v>20</v>
      </c>
      <c r="E3" t="s">
        <v>21</v>
      </c>
      <c r="F3" t="s">
        <v>16</v>
      </c>
      <c r="G3" s="2">
        <v>100</v>
      </c>
      <c r="H3" s="2">
        <v>90</v>
      </c>
      <c r="I3" t="s">
        <v>379</v>
      </c>
      <c r="J3" t="s">
        <v>380</v>
      </c>
    </row>
    <row r="4" spans="1:11" x14ac:dyDescent="0.35">
      <c r="A4" t="s">
        <v>143</v>
      </c>
      <c r="B4" t="s">
        <v>12</v>
      </c>
      <c r="C4" t="s">
        <v>13</v>
      </c>
      <c r="D4" t="s">
        <v>144</v>
      </c>
      <c r="E4" t="s">
        <v>145</v>
      </c>
      <c r="F4" t="s">
        <v>16</v>
      </c>
      <c r="G4" s="2">
        <v>100</v>
      </c>
      <c r="H4" s="2">
        <v>95</v>
      </c>
      <c r="I4" t="s">
        <v>381</v>
      </c>
      <c r="J4" t="s">
        <v>382</v>
      </c>
    </row>
    <row r="5" spans="1:11" x14ac:dyDescent="0.35">
      <c r="A5" t="s">
        <v>93</v>
      </c>
      <c r="B5" t="s">
        <v>12</v>
      </c>
      <c r="C5" t="s">
        <v>13</v>
      </c>
      <c r="D5" t="s">
        <v>94</v>
      </c>
      <c r="E5" t="s">
        <v>95</v>
      </c>
      <c r="F5" t="s">
        <v>16</v>
      </c>
      <c r="G5" s="2">
        <v>100</v>
      </c>
      <c r="H5" s="2">
        <v>93</v>
      </c>
      <c r="I5" t="s">
        <v>383</v>
      </c>
      <c r="J5" t="s">
        <v>384</v>
      </c>
    </row>
    <row r="6" spans="1:11" x14ac:dyDescent="0.35">
      <c r="A6" t="s">
        <v>49</v>
      </c>
      <c r="B6" t="s">
        <v>12</v>
      </c>
      <c r="C6" t="s">
        <v>13</v>
      </c>
      <c r="D6" t="s">
        <v>50</v>
      </c>
      <c r="E6" t="s">
        <v>51</v>
      </c>
      <c r="F6" t="s">
        <v>16</v>
      </c>
      <c r="G6" s="2">
        <v>100</v>
      </c>
      <c r="H6" s="2">
        <v>95</v>
      </c>
      <c r="I6" t="s">
        <v>385</v>
      </c>
      <c r="J6" t="s">
        <v>386</v>
      </c>
    </row>
    <row r="7" spans="1:11" x14ac:dyDescent="0.35">
      <c r="A7" t="s">
        <v>59</v>
      </c>
      <c r="B7" t="s">
        <v>12</v>
      </c>
      <c r="C7" t="s">
        <v>13</v>
      </c>
      <c r="D7" t="s">
        <v>60</v>
      </c>
      <c r="E7" t="s">
        <v>61</v>
      </c>
      <c r="F7" t="s">
        <v>16</v>
      </c>
      <c r="G7" s="2">
        <v>100</v>
      </c>
      <c r="H7" s="2">
        <v>90</v>
      </c>
      <c r="I7" t="s">
        <v>316</v>
      </c>
      <c r="J7" t="s">
        <v>387</v>
      </c>
    </row>
    <row r="8" spans="1:11" x14ac:dyDescent="0.35">
      <c r="A8" t="s">
        <v>138</v>
      </c>
      <c r="B8" t="s">
        <v>12</v>
      </c>
      <c r="C8" t="s">
        <v>13</v>
      </c>
      <c r="D8" t="s">
        <v>139</v>
      </c>
      <c r="E8" t="s">
        <v>140</v>
      </c>
      <c r="F8" t="s">
        <v>16</v>
      </c>
      <c r="G8" s="2">
        <v>100</v>
      </c>
      <c r="H8" s="2">
        <v>90</v>
      </c>
      <c r="I8" t="s">
        <v>388</v>
      </c>
      <c r="J8" t="s">
        <v>389</v>
      </c>
    </row>
    <row r="9" spans="1:11" x14ac:dyDescent="0.35">
      <c r="A9" t="s">
        <v>30</v>
      </c>
      <c r="B9" t="s">
        <v>12</v>
      </c>
      <c r="C9" t="s">
        <v>13</v>
      </c>
      <c r="D9" t="s">
        <v>31</v>
      </c>
      <c r="E9" t="s">
        <v>32</v>
      </c>
      <c r="F9" t="s">
        <v>16</v>
      </c>
      <c r="G9" s="2">
        <v>100</v>
      </c>
      <c r="H9" s="2">
        <v>90</v>
      </c>
      <c r="I9" t="s">
        <v>390</v>
      </c>
      <c r="J9" t="s">
        <v>391</v>
      </c>
      <c r="K9" t="s">
        <v>392</v>
      </c>
    </row>
    <row r="10" spans="1:11" x14ac:dyDescent="0.35">
      <c r="A10" t="s">
        <v>159</v>
      </c>
      <c r="B10" t="s">
        <v>12</v>
      </c>
      <c r="C10" t="s">
        <v>13</v>
      </c>
      <c r="D10" t="s">
        <v>160</v>
      </c>
      <c r="E10" t="s">
        <v>161</v>
      </c>
      <c r="F10" t="s">
        <v>16</v>
      </c>
      <c r="G10" s="2">
        <v>100</v>
      </c>
      <c r="H10" s="2">
        <v>92</v>
      </c>
      <c r="I10" t="s">
        <v>393</v>
      </c>
      <c r="J10" t="s">
        <v>394</v>
      </c>
      <c r="K10" t="s">
        <v>395</v>
      </c>
    </row>
    <row r="11" spans="1:11" x14ac:dyDescent="0.35">
      <c r="A11" t="s">
        <v>39</v>
      </c>
      <c r="B11" t="s">
        <v>12</v>
      </c>
      <c r="C11" t="s">
        <v>13</v>
      </c>
      <c r="D11" t="s">
        <v>40</v>
      </c>
      <c r="E11" t="s">
        <v>41</v>
      </c>
      <c r="F11" t="s">
        <v>16</v>
      </c>
      <c r="G11" s="2">
        <v>100</v>
      </c>
      <c r="H11" s="2">
        <v>90</v>
      </c>
      <c r="I11" t="s">
        <v>396</v>
      </c>
      <c r="J11" t="s">
        <v>397</v>
      </c>
    </row>
    <row r="12" spans="1:11" x14ac:dyDescent="0.35">
      <c r="A12" t="s">
        <v>123</v>
      </c>
      <c r="B12" t="s">
        <v>12</v>
      </c>
      <c r="C12" t="s">
        <v>13</v>
      </c>
      <c r="D12" t="s">
        <v>124</v>
      </c>
      <c r="E12" t="s">
        <v>125</v>
      </c>
      <c r="F12" t="s">
        <v>398</v>
      </c>
      <c r="G12" s="2">
        <v>100</v>
      </c>
      <c r="I12" t="s">
        <v>399</v>
      </c>
      <c r="J12" t="s">
        <v>400</v>
      </c>
    </row>
    <row r="13" spans="1:11" x14ac:dyDescent="0.35">
      <c r="A13" t="s">
        <v>24</v>
      </c>
      <c r="B13" t="s">
        <v>12</v>
      </c>
      <c r="C13" t="s">
        <v>13</v>
      </c>
      <c r="D13" t="s">
        <v>25</v>
      </c>
      <c r="E13" t="s">
        <v>26</v>
      </c>
      <c r="F13" t="s">
        <v>16</v>
      </c>
      <c r="G13" s="2">
        <v>100</v>
      </c>
      <c r="H13" s="2">
        <v>96</v>
      </c>
      <c r="I13" t="s">
        <v>401</v>
      </c>
      <c r="J13" t="s">
        <v>402</v>
      </c>
    </row>
    <row r="14" spans="1:11" x14ac:dyDescent="0.35">
      <c r="A14" t="s">
        <v>118</v>
      </c>
      <c r="B14" t="s">
        <v>12</v>
      </c>
      <c r="C14" t="s">
        <v>13</v>
      </c>
      <c r="D14" t="s">
        <v>119</v>
      </c>
      <c r="E14" t="s">
        <v>120</v>
      </c>
      <c r="F14" t="s">
        <v>16</v>
      </c>
      <c r="G14" s="2">
        <v>100</v>
      </c>
      <c r="H14" s="2">
        <v>96</v>
      </c>
      <c r="I14" t="s">
        <v>403</v>
      </c>
      <c r="J14" t="s">
        <v>404</v>
      </c>
    </row>
    <row r="15" spans="1:11" x14ac:dyDescent="0.35">
      <c r="A15" t="s">
        <v>113</v>
      </c>
      <c r="B15" t="s">
        <v>12</v>
      </c>
      <c r="C15" t="s">
        <v>13</v>
      </c>
      <c r="D15" t="s">
        <v>114</v>
      </c>
      <c r="E15" t="s">
        <v>115</v>
      </c>
      <c r="F15" t="s">
        <v>16</v>
      </c>
      <c r="G15" s="2">
        <v>100</v>
      </c>
      <c r="H15" s="2">
        <v>95</v>
      </c>
      <c r="I15" t="s">
        <v>405</v>
      </c>
      <c r="J15" t="s">
        <v>406</v>
      </c>
    </row>
    <row r="16" spans="1:11" x14ac:dyDescent="0.35">
      <c r="A16" t="s">
        <v>237</v>
      </c>
      <c r="B16" t="s">
        <v>12</v>
      </c>
      <c r="C16" t="s">
        <v>13</v>
      </c>
      <c r="D16" t="s">
        <v>238</v>
      </c>
      <c r="E16" t="s">
        <v>239</v>
      </c>
      <c r="F16" t="s">
        <v>16</v>
      </c>
      <c r="G16" s="2">
        <v>100</v>
      </c>
      <c r="H16" s="2">
        <v>90</v>
      </c>
      <c r="I16" t="s">
        <v>407</v>
      </c>
      <c r="J16" t="s">
        <v>408</v>
      </c>
    </row>
    <row r="17" spans="1:11" x14ac:dyDescent="0.35">
      <c r="A17" t="s">
        <v>152</v>
      </c>
      <c r="B17" t="s">
        <v>12</v>
      </c>
      <c r="C17" t="s">
        <v>13</v>
      </c>
      <c r="D17" t="s">
        <v>153</v>
      </c>
      <c r="E17" t="s">
        <v>154</v>
      </c>
      <c r="F17" t="s">
        <v>16</v>
      </c>
      <c r="G17" s="2">
        <v>100</v>
      </c>
      <c r="H17" s="2">
        <v>90</v>
      </c>
      <c r="I17" t="s">
        <v>409</v>
      </c>
      <c r="J17" t="s">
        <v>337</v>
      </c>
    </row>
    <row r="18" spans="1:11" x14ac:dyDescent="0.35">
      <c r="A18" t="s">
        <v>68</v>
      </c>
      <c r="B18" t="s">
        <v>12</v>
      </c>
      <c r="C18" t="s">
        <v>13</v>
      </c>
      <c r="D18" t="s">
        <v>69</v>
      </c>
      <c r="E18" t="s">
        <v>70</v>
      </c>
      <c r="F18" t="s">
        <v>16</v>
      </c>
      <c r="G18" s="2">
        <v>100</v>
      </c>
      <c r="H18" s="2">
        <v>90</v>
      </c>
      <c r="I18" t="s">
        <v>410</v>
      </c>
      <c r="J18" t="s">
        <v>387</v>
      </c>
    </row>
    <row r="19" spans="1:11" x14ac:dyDescent="0.35">
      <c r="A19" t="s">
        <v>232</v>
      </c>
      <c r="B19" t="s">
        <v>12</v>
      </c>
      <c r="C19" t="s">
        <v>13</v>
      </c>
      <c r="D19" t="s">
        <v>233</v>
      </c>
      <c r="E19" t="s">
        <v>234</v>
      </c>
      <c r="F19" t="s">
        <v>16</v>
      </c>
      <c r="G19" s="2">
        <v>100</v>
      </c>
      <c r="H19" s="2">
        <v>90</v>
      </c>
      <c r="I19" t="s">
        <v>411</v>
      </c>
      <c r="J19" t="s">
        <v>412</v>
      </c>
    </row>
    <row r="20" spans="1:11" x14ac:dyDescent="0.35">
      <c r="A20" t="s">
        <v>98</v>
      </c>
      <c r="B20" t="s">
        <v>12</v>
      </c>
      <c r="C20" t="s">
        <v>13</v>
      </c>
      <c r="D20" t="s">
        <v>99</v>
      </c>
      <c r="E20" t="s">
        <v>100</v>
      </c>
      <c r="F20" t="s">
        <v>16</v>
      </c>
      <c r="G20" s="2">
        <v>100</v>
      </c>
      <c r="H20" s="2">
        <v>95</v>
      </c>
      <c r="I20" t="s">
        <v>413</v>
      </c>
      <c r="J20" t="s">
        <v>414</v>
      </c>
    </row>
    <row r="21" spans="1:11" x14ac:dyDescent="0.35">
      <c r="A21" t="s">
        <v>192</v>
      </c>
      <c r="B21" t="s">
        <v>12</v>
      </c>
      <c r="C21" t="s">
        <v>13</v>
      </c>
      <c r="D21" t="s">
        <v>193</v>
      </c>
      <c r="E21" t="s">
        <v>194</v>
      </c>
      <c r="F21" t="s">
        <v>16</v>
      </c>
      <c r="G21" s="2">
        <v>100</v>
      </c>
      <c r="H21" s="2">
        <v>95</v>
      </c>
      <c r="I21" t="s">
        <v>415</v>
      </c>
      <c r="J21" t="s">
        <v>416</v>
      </c>
    </row>
    <row r="22" spans="1:11" x14ac:dyDescent="0.35">
      <c r="A22" t="s">
        <v>108</v>
      </c>
      <c r="B22" t="s">
        <v>12</v>
      </c>
      <c r="C22" t="s">
        <v>13</v>
      </c>
      <c r="D22" t="s">
        <v>109</v>
      </c>
      <c r="E22" t="s">
        <v>110</v>
      </c>
      <c r="F22" t="s">
        <v>16</v>
      </c>
      <c r="G22" s="2">
        <v>100</v>
      </c>
      <c r="H22" s="2">
        <v>95</v>
      </c>
      <c r="I22" t="s">
        <v>417</v>
      </c>
      <c r="J22" t="s">
        <v>418</v>
      </c>
    </row>
    <row r="23" spans="1:11" x14ac:dyDescent="0.35">
      <c r="A23" t="s">
        <v>132</v>
      </c>
      <c r="B23" t="s">
        <v>12</v>
      </c>
      <c r="C23" t="s">
        <v>13</v>
      </c>
      <c r="D23" t="s">
        <v>133</v>
      </c>
      <c r="E23" t="s">
        <v>134</v>
      </c>
      <c r="F23" t="s">
        <v>16</v>
      </c>
      <c r="G23" s="2">
        <v>100</v>
      </c>
      <c r="H23" s="2">
        <v>95</v>
      </c>
      <c r="I23" t="s">
        <v>419</v>
      </c>
      <c r="J23" t="s">
        <v>420</v>
      </c>
      <c r="K23" t="s">
        <v>421</v>
      </c>
    </row>
    <row r="24" spans="1:11" x14ac:dyDescent="0.35">
      <c r="A24" t="s">
        <v>77</v>
      </c>
      <c r="B24" t="s">
        <v>12</v>
      </c>
      <c r="C24" t="s">
        <v>13</v>
      </c>
      <c r="D24" t="s">
        <v>78</v>
      </c>
      <c r="E24" t="s">
        <v>79</v>
      </c>
      <c r="F24" t="s">
        <v>16</v>
      </c>
      <c r="G24" s="2">
        <v>100</v>
      </c>
      <c r="H24" s="2">
        <v>95</v>
      </c>
      <c r="I24" t="s">
        <v>422</v>
      </c>
      <c r="J24" t="s">
        <v>423</v>
      </c>
      <c r="K24" t="s">
        <v>424</v>
      </c>
    </row>
    <row r="25" spans="1:11" x14ac:dyDescent="0.35">
      <c r="A25" t="s">
        <v>103</v>
      </c>
      <c r="B25" t="s">
        <v>12</v>
      </c>
      <c r="C25" t="s">
        <v>13</v>
      </c>
      <c r="D25" t="s">
        <v>104</v>
      </c>
      <c r="E25" t="s">
        <v>105</v>
      </c>
      <c r="F25" t="s">
        <v>16</v>
      </c>
      <c r="G25" s="2">
        <v>100</v>
      </c>
      <c r="H25" s="2">
        <v>95</v>
      </c>
      <c r="I25" t="s">
        <v>350</v>
      </c>
      <c r="J25" t="s">
        <v>414</v>
      </c>
    </row>
    <row r="26" spans="1:11" x14ac:dyDescent="0.35">
      <c r="A26" t="s">
        <v>83</v>
      </c>
      <c r="B26" t="s">
        <v>12</v>
      </c>
      <c r="C26" t="s">
        <v>13</v>
      </c>
      <c r="D26" t="s">
        <v>84</v>
      </c>
      <c r="E26" t="s">
        <v>85</v>
      </c>
      <c r="F26" t="s">
        <v>16</v>
      </c>
      <c r="G26" s="2">
        <v>100</v>
      </c>
      <c r="H26" s="2">
        <v>95</v>
      </c>
      <c r="I26" t="s">
        <v>425</v>
      </c>
      <c r="J26" t="s">
        <v>358</v>
      </c>
    </row>
    <row r="27" spans="1:11" x14ac:dyDescent="0.35">
      <c r="A27" t="s">
        <v>72</v>
      </c>
      <c r="B27" t="s">
        <v>12</v>
      </c>
      <c r="C27" t="s">
        <v>13</v>
      </c>
      <c r="D27" t="s">
        <v>73</v>
      </c>
      <c r="E27" t="s">
        <v>74</v>
      </c>
      <c r="F27" t="s">
        <v>16</v>
      </c>
      <c r="G27" s="2">
        <v>100</v>
      </c>
      <c r="H27" s="2">
        <v>95</v>
      </c>
      <c r="I27" t="s">
        <v>352</v>
      </c>
      <c r="J27" t="s">
        <v>426</v>
      </c>
    </row>
    <row r="28" spans="1:11" x14ac:dyDescent="0.35">
      <c r="A28" t="s">
        <v>64</v>
      </c>
      <c r="B28" t="s">
        <v>12</v>
      </c>
      <c r="C28" t="s">
        <v>13</v>
      </c>
      <c r="D28" t="s">
        <v>65</v>
      </c>
      <c r="E28" t="s">
        <v>66</v>
      </c>
      <c r="F28" t="s">
        <v>16</v>
      </c>
      <c r="G28" s="2">
        <v>100</v>
      </c>
      <c r="H28" s="2">
        <v>95</v>
      </c>
      <c r="I28" t="s">
        <v>427</v>
      </c>
      <c r="J28" t="s">
        <v>387</v>
      </c>
    </row>
    <row r="29" spans="1:11" x14ac:dyDescent="0.35">
      <c r="A29" t="s">
        <v>127</v>
      </c>
      <c r="B29" t="s">
        <v>12</v>
      </c>
      <c r="C29" t="s">
        <v>13</v>
      </c>
      <c r="D29" t="s">
        <v>128</v>
      </c>
      <c r="E29" t="s">
        <v>129</v>
      </c>
      <c r="F29" t="s">
        <v>16</v>
      </c>
      <c r="G29" s="2">
        <v>100</v>
      </c>
      <c r="H29" s="2">
        <v>95</v>
      </c>
      <c r="I29" t="s">
        <v>428</v>
      </c>
      <c r="J29" t="s">
        <v>429</v>
      </c>
    </row>
    <row r="30" spans="1:11" x14ac:dyDescent="0.35">
      <c r="A30" t="s">
        <v>88</v>
      </c>
      <c r="B30" t="s">
        <v>12</v>
      </c>
      <c r="C30" t="s">
        <v>13</v>
      </c>
      <c r="D30" t="s">
        <v>89</v>
      </c>
      <c r="E30" t="s">
        <v>90</v>
      </c>
      <c r="F30" t="s">
        <v>16</v>
      </c>
      <c r="G30" s="2">
        <v>100</v>
      </c>
      <c r="H30" s="2">
        <v>95</v>
      </c>
      <c r="I30" t="s">
        <v>430</v>
      </c>
      <c r="J30" t="s">
        <v>431</v>
      </c>
    </row>
    <row r="31" spans="1:11" x14ac:dyDescent="0.35">
      <c r="A31" t="s">
        <v>147</v>
      </c>
      <c r="B31" t="s">
        <v>12</v>
      </c>
      <c r="C31" t="s">
        <v>13</v>
      </c>
      <c r="D31" t="s">
        <v>148</v>
      </c>
      <c r="E31" t="s">
        <v>149</v>
      </c>
      <c r="F31" t="s">
        <v>16</v>
      </c>
      <c r="G31" s="2">
        <v>100</v>
      </c>
      <c r="H31" s="2">
        <v>95</v>
      </c>
      <c r="I31" t="s">
        <v>432</v>
      </c>
      <c r="J31" t="s">
        <v>433</v>
      </c>
    </row>
    <row r="32" spans="1:11" x14ac:dyDescent="0.35">
      <c r="A32" t="s">
        <v>44</v>
      </c>
      <c r="B32" t="s">
        <v>12</v>
      </c>
      <c r="C32" t="s">
        <v>13</v>
      </c>
      <c r="D32" t="s">
        <v>45</v>
      </c>
      <c r="E32" t="s">
        <v>46</v>
      </c>
      <c r="F32" t="s">
        <v>16</v>
      </c>
      <c r="G32" s="2">
        <v>100</v>
      </c>
      <c r="H32" s="2">
        <v>96</v>
      </c>
      <c r="I32" t="s">
        <v>434</v>
      </c>
      <c r="J32" t="s">
        <v>435</v>
      </c>
    </row>
    <row r="33" spans="1:10" x14ac:dyDescent="0.35">
      <c r="A33" t="s">
        <v>54</v>
      </c>
      <c r="B33" t="s">
        <v>12</v>
      </c>
      <c r="C33" t="s">
        <v>13</v>
      </c>
      <c r="D33" t="s">
        <v>55</v>
      </c>
      <c r="E33" t="s">
        <v>56</v>
      </c>
      <c r="F33" t="s">
        <v>16</v>
      </c>
      <c r="G33" s="2">
        <v>100</v>
      </c>
      <c r="H33" s="2">
        <v>95</v>
      </c>
      <c r="I33" t="s">
        <v>436</v>
      </c>
      <c r="J33" t="s">
        <v>437</v>
      </c>
    </row>
    <row r="34" spans="1:10" x14ac:dyDescent="0.35">
      <c r="A34" t="s">
        <v>369</v>
      </c>
      <c r="B34" t="s">
        <v>12</v>
      </c>
      <c r="C34" t="s">
        <v>13</v>
      </c>
      <c r="D34" t="s">
        <v>370</v>
      </c>
      <c r="E34" t="s">
        <v>371</v>
      </c>
      <c r="F34" t="s">
        <v>16</v>
      </c>
      <c r="G34" s="2">
        <v>100</v>
      </c>
      <c r="H34" s="2">
        <v>95</v>
      </c>
      <c r="I34" t="s">
        <v>438</v>
      </c>
      <c r="J34" t="s">
        <v>439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2CC6D-6B22-42FA-B28F-D4AC5BF2F2FF}">
  <dimension ref="A1:K34"/>
  <sheetViews>
    <sheetView workbookViewId="0">
      <selection activeCell="G8" sqref="G8"/>
    </sheetView>
  </sheetViews>
  <sheetFormatPr defaultRowHeight="14.5" x14ac:dyDescent="0.35"/>
  <cols>
    <col min="1" max="1" width="10.36328125" bestFit="1" customWidth="1"/>
    <col min="2" max="2" width="11.1796875" bestFit="1" customWidth="1"/>
    <col min="3" max="3" width="10.26953125" bestFit="1" customWidth="1"/>
    <col min="4" max="4" width="25.6328125" bestFit="1" customWidth="1"/>
    <col min="5" max="5" width="29.36328125" bestFit="1" customWidth="1"/>
    <col min="6" max="6" width="6.7265625" bestFit="1" customWidth="1"/>
    <col min="7" max="7" width="10.81640625" bestFit="1" customWidth="1"/>
    <col min="8" max="8" width="6.08984375" bestFit="1" customWidth="1"/>
    <col min="9" max="9" width="29" bestFit="1" customWidth="1"/>
    <col min="10" max="10" width="43.36328125" bestFit="1" customWidth="1"/>
    <col min="11" max="11" width="45.269531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152</v>
      </c>
      <c r="B2" t="s">
        <v>12</v>
      </c>
      <c r="C2" t="s">
        <v>13</v>
      </c>
      <c r="D2" t="s">
        <v>153</v>
      </c>
      <c r="E2" t="s">
        <v>154</v>
      </c>
      <c r="F2" t="s">
        <v>16</v>
      </c>
      <c r="G2" s="2">
        <v>100</v>
      </c>
      <c r="H2" s="2">
        <v>90</v>
      </c>
      <c r="I2" t="s">
        <v>440</v>
      </c>
      <c r="J2" t="s">
        <v>337</v>
      </c>
    </row>
    <row r="3" spans="1:11" x14ac:dyDescent="0.35">
      <c r="A3" t="s">
        <v>143</v>
      </c>
      <c r="B3" t="s">
        <v>12</v>
      </c>
      <c r="C3" t="s">
        <v>13</v>
      </c>
      <c r="D3" t="s">
        <v>144</v>
      </c>
      <c r="E3" t="s">
        <v>145</v>
      </c>
      <c r="F3" t="s">
        <v>16</v>
      </c>
      <c r="G3" s="2">
        <v>100</v>
      </c>
      <c r="H3" s="2">
        <v>90</v>
      </c>
      <c r="I3" t="s">
        <v>441</v>
      </c>
      <c r="J3" t="s">
        <v>442</v>
      </c>
    </row>
    <row r="4" spans="1:11" x14ac:dyDescent="0.35">
      <c r="A4" t="s">
        <v>49</v>
      </c>
      <c r="B4" t="s">
        <v>12</v>
      </c>
      <c r="C4" t="s">
        <v>13</v>
      </c>
      <c r="D4" t="s">
        <v>50</v>
      </c>
      <c r="E4" t="s">
        <v>51</v>
      </c>
      <c r="F4" t="s">
        <v>16</v>
      </c>
      <c r="G4" s="2">
        <v>100</v>
      </c>
      <c r="H4" s="2">
        <v>95</v>
      </c>
      <c r="I4" t="s">
        <v>443</v>
      </c>
      <c r="J4" t="s">
        <v>444</v>
      </c>
    </row>
    <row r="5" spans="1:11" x14ac:dyDescent="0.35">
      <c r="A5" t="s">
        <v>19</v>
      </c>
      <c r="B5" t="s">
        <v>12</v>
      </c>
      <c r="C5" t="s">
        <v>13</v>
      </c>
      <c r="D5" t="s">
        <v>20</v>
      </c>
      <c r="E5" t="s">
        <v>21</v>
      </c>
      <c r="F5" t="s">
        <v>16</v>
      </c>
      <c r="G5" s="2">
        <v>100</v>
      </c>
      <c r="H5" s="2">
        <v>95</v>
      </c>
      <c r="I5" t="s">
        <v>445</v>
      </c>
      <c r="J5" t="s">
        <v>446</v>
      </c>
    </row>
    <row r="6" spans="1:11" x14ac:dyDescent="0.35">
      <c r="A6" t="s">
        <v>30</v>
      </c>
      <c r="B6" t="s">
        <v>12</v>
      </c>
      <c r="C6" t="s">
        <v>13</v>
      </c>
      <c r="D6" t="s">
        <v>31</v>
      </c>
      <c r="E6" t="s">
        <v>32</v>
      </c>
      <c r="F6" t="s">
        <v>16</v>
      </c>
      <c r="G6" s="2">
        <v>100</v>
      </c>
      <c r="H6" s="2">
        <v>95</v>
      </c>
      <c r="I6" t="s">
        <v>447</v>
      </c>
      <c r="J6" t="s">
        <v>448</v>
      </c>
      <c r="K6" t="s">
        <v>449</v>
      </c>
    </row>
    <row r="7" spans="1:11" x14ac:dyDescent="0.35">
      <c r="A7" t="s">
        <v>39</v>
      </c>
      <c r="B7" t="s">
        <v>12</v>
      </c>
      <c r="C7" t="s">
        <v>13</v>
      </c>
      <c r="D7" t="s">
        <v>40</v>
      </c>
      <c r="E7" t="s">
        <v>41</v>
      </c>
      <c r="F7" t="s">
        <v>16</v>
      </c>
      <c r="G7" s="2">
        <v>100</v>
      </c>
      <c r="H7" s="2">
        <v>95</v>
      </c>
      <c r="I7" t="s">
        <v>450</v>
      </c>
      <c r="J7" t="s">
        <v>451</v>
      </c>
    </row>
    <row r="8" spans="1:11" x14ac:dyDescent="0.35">
      <c r="A8" t="s">
        <v>54</v>
      </c>
      <c r="B8" t="s">
        <v>12</v>
      </c>
      <c r="C8" t="s">
        <v>13</v>
      </c>
      <c r="D8" t="s">
        <v>55</v>
      </c>
      <c r="E8" t="s">
        <v>56</v>
      </c>
      <c r="F8" t="s">
        <v>16</v>
      </c>
      <c r="G8" s="2">
        <v>100</v>
      </c>
      <c r="H8" s="2">
        <v>90</v>
      </c>
      <c r="I8" t="s">
        <v>452</v>
      </c>
      <c r="J8" t="s">
        <v>453</v>
      </c>
    </row>
    <row r="9" spans="1:11" x14ac:dyDescent="0.35">
      <c r="A9" t="s">
        <v>83</v>
      </c>
      <c r="B9" t="s">
        <v>12</v>
      </c>
      <c r="C9" t="s">
        <v>13</v>
      </c>
      <c r="D9" t="s">
        <v>84</v>
      </c>
      <c r="E9" t="s">
        <v>85</v>
      </c>
      <c r="F9" t="s">
        <v>16</v>
      </c>
      <c r="G9" s="2">
        <v>100</v>
      </c>
      <c r="H9" s="2">
        <v>96</v>
      </c>
      <c r="I9" t="s">
        <v>454</v>
      </c>
      <c r="J9" t="s">
        <v>455</v>
      </c>
    </row>
    <row r="10" spans="1:11" x14ac:dyDescent="0.35">
      <c r="A10" t="s">
        <v>72</v>
      </c>
      <c r="B10" t="s">
        <v>12</v>
      </c>
      <c r="C10" t="s">
        <v>13</v>
      </c>
      <c r="D10" t="s">
        <v>73</v>
      </c>
      <c r="E10" t="s">
        <v>74</v>
      </c>
      <c r="F10" t="s">
        <v>16</v>
      </c>
      <c r="G10" s="2">
        <v>100</v>
      </c>
      <c r="H10" s="2">
        <v>96</v>
      </c>
      <c r="I10" t="s">
        <v>456</v>
      </c>
      <c r="J10" t="s">
        <v>457</v>
      </c>
    </row>
    <row r="11" spans="1:11" x14ac:dyDescent="0.35">
      <c r="A11" t="s">
        <v>24</v>
      </c>
      <c r="B11" t="s">
        <v>12</v>
      </c>
      <c r="C11" t="s">
        <v>13</v>
      </c>
      <c r="D11" t="s">
        <v>25</v>
      </c>
      <c r="E11" t="s">
        <v>26</v>
      </c>
      <c r="F11" t="s">
        <v>16</v>
      </c>
      <c r="G11" s="2">
        <v>100</v>
      </c>
      <c r="H11" s="2">
        <v>98</v>
      </c>
      <c r="I11" t="s">
        <v>458</v>
      </c>
      <c r="J11" t="s">
        <v>459</v>
      </c>
    </row>
    <row r="12" spans="1:11" x14ac:dyDescent="0.35">
      <c r="A12" t="s">
        <v>44</v>
      </c>
      <c r="B12" t="s">
        <v>12</v>
      </c>
      <c r="C12" t="s">
        <v>13</v>
      </c>
      <c r="D12" t="s">
        <v>45</v>
      </c>
      <c r="E12" t="s">
        <v>46</v>
      </c>
      <c r="F12" t="s">
        <v>16</v>
      </c>
      <c r="G12" s="2">
        <v>100</v>
      </c>
      <c r="H12" s="2">
        <v>96</v>
      </c>
      <c r="I12" t="s">
        <v>460</v>
      </c>
      <c r="J12" t="s">
        <v>461</v>
      </c>
    </row>
    <row r="13" spans="1:11" x14ac:dyDescent="0.35">
      <c r="A13" t="s">
        <v>159</v>
      </c>
      <c r="B13" t="s">
        <v>12</v>
      </c>
      <c r="C13" t="s">
        <v>13</v>
      </c>
      <c r="D13" t="s">
        <v>160</v>
      </c>
      <c r="E13" t="s">
        <v>161</v>
      </c>
      <c r="F13" t="s">
        <v>16</v>
      </c>
      <c r="G13" s="2">
        <v>100</v>
      </c>
      <c r="H13" s="2">
        <v>98</v>
      </c>
      <c r="I13" t="s">
        <v>462</v>
      </c>
      <c r="J13" t="s">
        <v>463</v>
      </c>
      <c r="K13" t="s">
        <v>464</v>
      </c>
    </row>
    <row r="14" spans="1:11" x14ac:dyDescent="0.35">
      <c r="A14" t="s">
        <v>64</v>
      </c>
      <c r="B14" t="s">
        <v>12</v>
      </c>
      <c r="C14" t="s">
        <v>13</v>
      </c>
      <c r="D14" t="s">
        <v>65</v>
      </c>
      <c r="E14" t="s">
        <v>66</v>
      </c>
      <c r="F14" t="s">
        <v>16</v>
      </c>
      <c r="G14" s="2">
        <v>100</v>
      </c>
      <c r="H14" s="2">
        <v>95</v>
      </c>
      <c r="I14" t="s">
        <v>465</v>
      </c>
      <c r="J14" t="s">
        <v>466</v>
      </c>
    </row>
    <row r="15" spans="1:11" x14ac:dyDescent="0.35">
      <c r="A15" t="s">
        <v>68</v>
      </c>
      <c r="B15" t="s">
        <v>12</v>
      </c>
      <c r="C15" t="s">
        <v>13</v>
      </c>
      <c r="D15" t="s">
        <v>69</v>
      </c>
      <c r="E15" t="s">
        <v>70</v>
      </c>
      <c r="F15" t="s">
        <v>16</v>
      </c>
      <c r="G15" s="2">
        <v>100</v>
      </c>
      <c r="H15" s="2">
        <v>96</v>
      </c>
      <c r="I15" t="s">
        <v>467</v>
      </c>
      <c r="J15" t="s">
        <v>468</v>
      </c>
    </row>
    <row r="16" spans="1:11" x14ac:dyDescent="0.35">
      <c r="A16" t="s">
        <v>123</v>
      </c>
      <c r="B16" t="s">
        <v>12</v>
      </c>
      <c r="C16" t="s">
        <v>13</v>
      </c>
      <c r="D16" t="s">
        <v>124</v>
      </c>
      <c r="E16" t="s">
        <v>125</v>
      </c>
      <c r="F16" t="s">
        <v>16</v>
      </c>
      <c r="G16" s="2">
        <v>100</v>
      </c>
      <c r="H16" s="2">
        <v>95</v>
      </c>
      <c r="I16" t="s">
        <v>469</v>
      </c>
      <c r="J16" t="s">
        <v>470</v>
      </c>
    </row>
    <row r="17" spans="1:11" x14ac:dyDescent="0.35">
      <c r="A17" t="s">
        <v>98</v>
      </c>
      <c r="B17" t="s">
        <v>12</v>
      </c>
      <c r="C17" t="s">
        <v>13</v>
      </c>
      <c r="D17" t="s">
        <v>99</v>
      </c>
      <c r="E17" t="s">
        <v>100</v>
      </c>
      <c r="F17" t="s">
        <v>16</v>
      </c>
      <c r="G17" s="2">
        <v>100</v>
      </c>
      <c r="H17" s="2">
        <v>95</v>
      </c>
      <c r="I17" t="s">
        <v>471</v>
      </c>
      <c r="J17" t="s">
        <v>472</v>
      </c>
    </row>
    <row r="18" spans="1:11" x14ac:dyDescent="0.35">
      <c r="A18" t="s">
        <v>77</v>
      </c>
      <c r="B18" t="s">
        <v>12</v>
      </c>
      <c r="C18" t="s">
        <v>13</v>
      </c>
      <c r="D18" t="s">
        <v>78</v>
      </c>
      <c r="E18" t="s">
        <v>79</v>
      </c>
      <c r="F18" t="s">
        <v>16</v>
      </c>
      <c r="G18" s="2">
        <v>100</v>
      </c>
      <c r="H18" s="2">
        <v>80</v>
      </c>
      <c r="I18" t="s">
        <v>473</v>
      </c>
      <c r="J18" t="s">
        <v>474</v>
      </c>
    </row>
    <row r="19" spans="1:11" x14ac:dyDescent="0.35">
      <c r="A19" t="s">
        <v>59</v>
      </c>
      <c r="B19" t="s">
        <v>12</v>
      </c>
      <c r="C19" t="s">
        <v>13</v>
      </c>
      <c r="D19" t="s">
        <v>60</v>
      </c>
      <c r="E19" t="s">
        <v>61</v>
      </c>
      <c r="F19" t="s">
        <v>16</v>
      </c>
      <c r="G19" s="2">
        <v>100</v>
      </c>
      <c r="H19" s="2">
        <v>95</v>
      </c>
      <c r="I19" t="s">
        <v>475</v>
      </c>
      <c r="J19" t="s">
        <v>476</v>
      </c>
    </row>
    <row r="20" spans="1:11" x14ac:dyDescent="0.35">
      <c r="A20" t="s">
        <v>88</v>
      </c>
      <c r="B20" t="s">
        <v>12</v>
      </c>
      <c r="C20" t="s">
        <v>13</v>
      </c>
      <c r="D20" t="s">
        <v>89</v>
      </c>
      <c r="E20" t="s">
        <v>90</v>
      </c>
      <c r="F20" t="s">
        <v>16</v>
      </c>
      <c r="G20" s="2">
        <v>100</v>
      </c>
      <c r="H20" s="2">
        <v>95</v>
      </c>
      <c r="I20" t="s">
        <v>477</v>
      </c>
      <c r="J20" t="s">
        <v>478</v>
      </c>
    </row>
    <row r="21" spans="1:11" x14ac:dyDescent="0.35">
      <c r="A21" t="s">
        <v>113</v>
      </c>
      <c r="B21" t="s">
        <v>12</v>
      </c>
      <c r="C21" t="s">
        <v>13</v>
      </c>
      <c r="D21" t="s">
        <v>114</v>
      </c>
      <c r="E21" t="s">
        <v>115</v>
      </c>
      <c r="F21" t="s">
        <v>16</v>
      </c>
      <c r="G21" s="2">
        <v>100</v>
      </c>
      <c r="H21" s="2">
        <v>90</v>
      </c>
      <c r="I21" t="s">
        <v>479</v>
      </c>
      <c r="J21" t="s">
        <v>480</v>
      </c>
    </row>
    <row r="22" spans="1:11" x14ac:dyDescent="0.35">
      <c r="A22" t="s">
        <v>103</v>
      </c>
      <c r="B22" t="s">
        <v>12</v>
      </c>
      <c r="C22" t="s">
        <v>13</v>
      </c>
      <c r="D22" t="s">
        <v>104</v>
      </c>
      <c r="E22" t="s">
        <v>105</v>
      </c>
      <c r="F22" t="s">
        <v>16</v>
      </c>
      <c r="G22" s="2">
        <v>100</v>
      </c>
      <c r="H22" s="2">
        <v>95</v>
      </c>
      <c r="I22" t="s">
        <v>481</v>
      </c>
      <c r="J22" t="s">
        <v>482</v>
      </c>
    </row>
    <row r="23" spans="1:11" x14ac:dyDescent="0.35">
      <c r="A23" t="s">
        <v>165</v>
      </c>
      <c r="B23" t="s">
        <v>12</v>
      </c>
      <c r="C23" t="s">
        <v>13</v>
      </c>
      <c r="D23" t="s">
        <v>166</v>
      </c>
      <c r="E23" t="s">
        <v>167</v>
      </c>
      <c r="F23" t="s">
        <v>16</v>
      </c>
      <c r="G23" s="2">
        <v>100</v>
      </c>
      <c r="H23" s="2">
        <v>95</v>
      </c>
      <c r="I23" t="s">
        <v>483</v>
      </c>
      <c r="J23" t="s">
        <v>484</v>
      </c>
    </row>
    <row r="24" spans="1:11" x14ac:dyDescent="0.35">
      <c r="A24" t="s">
        <v>147</v>
      </c>
      <c r="B24" t="s">
        <v>12</v>
      </c>
      <c r="C24" t="s">
        <v>13</v>
      </c>
      <c r="D24" t="s">
        <v>148</v>
      </c>
      <c r="E24" t="s">
        <v>149</v>
      </c>
      <c r="F24" t="s">
        <v>16</v>
      </c>
      <c r="G24" s="2">
        <v>100</v>
      </c>
      <c r="H24" s="2">
        <v>95</v>
      </c>
      <c r="I24" t="s">
        <v>485</v>
      </c>
      <c r="J24" t="s">
        <v>486</v>
      </c>
    </row>
    <row r="25" spans="1:11" x14ac:dyDescent="0.35">
      <c r="A25" t="s">
        <v>138</v>
      </c>
      <c r="B25" t="s">
        <v>12</v>
      </c>
      <c r="C25" t="s">
        <v>13</v>
      </c>
      <c r="D25" t="s">
        <v>139</v>
      </c>
      <c r="E25" t="s">
        <v>140</v>
      </c>
      <c r="F25" t="s">
        <v>16</v>
      </c>
      <c r="G25" s="2">
        <v>100</v>
      </c>
      <c r="H25" s="2">
        <v>95</v>
      </c>
      <c r="I25" t="s">
        <v>485</v>
      </c>
      <c r="J25" t="s">
        <v>487</v>
      </c>
    </row>
    <row r="26" spans="1:11" x14ac:dyDescent="0.35">
      <c r="A26" t="s">
        <v>93</v>
      </c>
      <c r="B26" t="s">
        <v>12</v>
      </c>
      <c r="C26" t="s">
        <v>13</v>
      </c>
      <c r="D26" t="s">
        <v>94</v>
      </c>
      <c r="E26" t="s">
        <v>95</v>
      </c>
      <c r="F26" t="s">
        <v>16</v>
      </c>
      <c r="G26" s="2">
        <v>100</v>
      </c>
      <c r="H26" s="2">
        <v>95</v>
      </c>
      <c r="I26" t="s">
        <v>488</v>
      </c>
      <c r="J26" t="s">
        <v>489</v>
      </c>
    </row>
    <row r="27" spans="1:11" x14ac:dyDescent="0.35">
      <c r="A27" t="s">
        <v>118</v>
      </c>
      <c r="B27" t="s">
        <v>12</v>
      </c>
      <c r="C27" t="s">
        <v>13</v>
      </c>
      <c r="D27" t="s">
        <v>119</v>
      </c>
      <c r="E27" t="s">
        <v>120</v>
      </c>
      <c r="F27" t="s">
        <v>16</v>
      </c>
      <c r="G27" s="2">
        <v>100</v>
      </c>
      <c r="H27" s="2">
        <v>95</v>
      </c>
      <c r="I27" t="s">
        <v>490</v>
      </c>
      <c r="J27" t="s">
        <v>491</v>
      </c>
    </row>
    <row r="28" spans="1:11" x14ac:dyDescent="0.35">
      <c r="A28" t="s">
        <v>127</v>
      </c>
      <c r="B28" t="s">
        <v>12</v>
      </c>
      <c r="C28" t="s">
        <v>13</v>
      </c>
      <c r="D28" t="s">
        <v>128</v>
      </c>
      <c r="E28" t="s">
        <v>129</v>
      </c>
      <c r="F28" t="s">
        <v>16</v>
      </c>
      <c r="G28" s="2">
        <v>100</v>
      </c>
      <c r="H28" s="2">
        <v>95</v>
      </c>
      <c r="I28" t="s">
        <v>492</v>
      </c>
      <c r="J28" t="s">
        <v>493</v>
      </c>
    </row>
    <row r="29" spans="1:11" x14ac:dyDescent="0.35">
      <c r="A29" t="s">
        <v>237</v>
      </c>
      <c r="B29" t="s">
        <v>12</v>
      </c>
      <c r="C29" t="s">
        <v>13</v>
      </c>
      <c r="D29" t="s">
        <v>238</v>
      </c>
      <c r="E29" t="s">
        <v>239</v>
      </c>
      <c r="F29" t="s">
        <v>16</v>
      </c>
      <c r="G29" s="2">
        <v>100</v>
      </c>
      <c r="H29" s="2">
        <v>95</v>
      </c>
      <c r="I29" t="s">
        <v>494</v>
      </c>
      <c r="J29" t="s">
        <v>472</v>
      </c>
    </row>
    <row r="30" spans="1:11" x14ac:dyDescent="0.35">
      <c r="A30" t="s">
        <v>132</v>
      </c>
      <c r="B30" t="s">
        <v>12</v>
      </c>
      <c r="C30" t="s">
        <v>13</v>
      </c>
      <c r="D30" t="s">
        <v>133</v>
      </c>
      <c r="E30" t="s">
        <v>134</v>
      </c>
      <c r="F30" t="s">
        <v>16</v>
      </c>
      <c r="G30" s="2">
        <v>100</v>
      </c>
      <c r="H30" s="2">
        <v>95</v>
      </c>
      <c r="I30" t="s">
        <v>494</v>
      </c>
      <c r="J30" t="s">
        <v>495</v>
      </c>
      <c r="K30" t="s">
        <v>496</v>
      </c>
    </row>
    <row r="31" spans="1:11" x14ac:dyDescent="0.35">
      <c r="A31" t="s">
        <v>192</v>
      </c>
      <c r="B31" t="s">
        <v>12</v>
      </c>
      <c r="C31" t="s">
        <v>13</v>
      </c>
      <c r="D31" t="s">
        <v>193</v>
      </c>
      <c r="E31" t="s">
        <v>194</v>
      </c>
      <c r="F31" t="s">
        <v>16</v>
      </c>
      <c r="G31" s="2">
        <v>100</v>
      </c>
      <c r="H31" s="2">
        <v>90</v>
      </c>
      <c r="I31" t="s">
        <v>497</v>
      </c>
      <c r="J31" t="s">
        <v>448</v>
      </c>
    </row>
    <row r="32" spans="1:11" x14ac:dyDescent="0.35">
      <c r="A32" t="s">
        <v>369</v>
      </c>
      <c r="B32" t="s">
        <v>12</v>
      </c>
      <c r="C32" t="s">
        <v>13</v>
      </c>
      <c r="D32" t="s">
        <v>370</v>
      </c>
      <c r="E32" t="s">
        <v>371</v>
      </c>
      <c r="F32" t="s">
        <v>16</v>
      </c>
      <c r="G32" s="2">
        <v>100</v>
      </c>
      <c r="H32" s="2">
        <v>95</v>
      </c>
      <c r="I32" t="s">
        <v>498</v>
      </c>
      <c r="J32" t="s">
        <v>499</v>
      </c>
    </row>
    <row r="33" spans="1:10" x14ac:dyDescent="0.35">
      <c r="A33" t="s">
        <v>232</v>
      </c>
      <c r="B33" t="s">
        <v>12</v>
      </c>
      <c r="C33" t="s">
        <v>13</v>
      </c>
      <c r="D33" t="s">
        <v>233</v>
      </c>
      <c r="E33" t="s">
        <v>234</v>
      </c>
      <c r="F33" t="s">
        <v>16</v>
      </c>
      <c r="G33" s="2">
        <v>100</v>
      </c>
      <c r="H33" s="2">
        <v>90</v>
      </c>
      <c r="I33" t="s">
        <v>500</v>
      </c>
      <c r="J33" t="s">
        <v>501</v>
      </c>
    </row>
    <row r="34" spans="1:10" x14ac:dyDescent="0.35">
      <c r="A34" t="s">
        <v>108</v>
      </c>
      <c r="B34" t="s">
        <v>12</v>
      </c>
      <c r="C34" t="s">
        <v>13</v>
      </c>
      <c r="D34" t="s">
        <v>109</v>
      </c>
      <c r="E34" t="s">
        <v>110</v>
      </c>
      <c r="F34" t="s">
        <v>16</v>
      </c>
      <c r="G34" s="2">
        <v>100</v>
      </c>
      <c r="H34" s="2">
        <v>90</v>
      </c>
      <c r="I34" t="s">
        <v>502</v>
      </c>
      <c r="J34" t="s">
        <v>503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E16E-EAD7-4DF1-97F2-E8D8DDCEE949}">
  <dimension ref="A1:K34"/>
  <sheetViews>
    <sheetView workbookViewId="0">
      <selection activeCell="H19" sqref="H19"/>
    </sheetView>
  </sheetViews>
  <sheetFormatPr defaultRowHeight="14.5" x14ac:dyDescent="0.35"/>
  <cols>
    <col min="1" max="1" width="10.36328125" bestFit="1" customWidth="1"/>
    <col min="2" max="2" width="11.1796875" bestFit="1" customWidth="1"/>
    <col min="3" max="3" width="10.26953125" bestFit="1" customWidth="1"/>
    <col min="4" max="4" width="25.6328125" bestFit="1" customWidth="1"/>
    <col min="5" max="5" width="29.36328125" bestFit="1" customWidth="1"/>
    <col min="6" max="6" width="6.7265625" bestFit="1" customWidth="1"/>
    <col min="7" max="7" width="10.81640625" bestFit="1" customWidth="1"/>
    <col min="8" max="8" width="6.08984375" bestFit="1" customWidth="1"/>
    <col min="9" max="9" width="31.1796875" bestFit="1" customWidth="1"/>
    <col min="10" max="10" width="41.7265625" bestFit="1" customWidth="1"/>
    <col min="11" max="11" width="59.5429687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54</v>
      </c>
      <c r="B2" t="s">
        <v>12</v>
      </c>
      <c r="C2" t="s">
        <v>13</v>
      </c>
      <c r="D2" t="s">
        <v>55</v>
      </c>
      <c r="E2" t="s">
        <v>56</v>
      </c>
      <c r="F2" t="s">
        <v>16</v>
      </c>
      <c r="G2" s="2">
        <v>100</v>
      </c>
      <c r="H2" s="2">
        <v>98</v>
      </c>
      <c r="I2" t="s">
        <v>504</v>
      </c>
      <c r="J2" t="s">
        <v>505</v>
      </c>
    </row>
    <row r="3" spans="1:11" x14ac:dyDescent="0.35">
      <c r="A3" t="s">
        <v>152</v>
      </c>
      <c r="B3" t="s">
        <v>12</v>
      </c>
      <c r="C3" t="s">
        <v>13</v>
      </c>
      <c r="D3" t="s">
        <v>153</v>
      </c>
      <c r="E3" t="s">
        <v>154</v>
      </c>
      <c r="F3" t="s">
        <v>16</v>
      </c>
      <c r="G3" s="2">
        <v>100</v>
      </c>
      <c r="H3" s="2">
        <v>98</v>
      </c>
      <c r="I3" t="s">
        <v>504</v>
      </c>
      <c r="J3" t="s">
        <v>337</v>
      </c>
    </row>
    <row r="4" spans="1:11" x14ac:dyDescent="0.35">
      <c r="A4" t="s">
        <v>165</v>
      </c>
      <c r="B4" t="s">
        <v>12</v>
      </c>
      <c r="C4" t="s">
        <v>13</v>
      </c>
      <c r="D4" t="s">
        <v>166</v>
      </c>
      <c r="E4" t="s">
        <v>167</v>
      </c>
      <c r="F4" t="s">
        <v>16</v>
      </c>
      <c r="G4" s="2">
        <v>100</v>
      </c>
      <c r="H4" s="2">
        <v>97</v>
      </c>
      <c r="I4" t="s">
        <v>506</v>
      </c>
      <c r="J4" t="s">
        <v>507</v>
      </c>
      <c r="K4" t="s">
        <v>508</v>
      </c>
    </row>
    <row r="5" spans="1:11" x14ac:dyDescent="0.35">
      <c r="A5" t="s">
        <v>19</v>
      </c>
      <c r="B5" t="s">
        <v>12</v>
      </c>
      <c r="C5" t="s">
        <v>13</v>
      </c>
      <c r="D5" t="s">
        <v>20</v>
      </c>
      <c r="E5" t="s">
        <v>21</v>
      </c>
      <c r="F5" t="s">
        <v>16</v>
      </c>
      <c r="G5" s="2">
        <v>100</v>
      </c>
      <c r="H5" s="2">
        <v>98</v>
      </c>
      <c r="I5" t="s">
        <v>509</v>
      </c>
      <c r="J5" t="s">
        <v>510</v>
      </c>
    </row>
    <row r="6" spans="1:11" x14ac:dyDescent="0.35">
      <c r="A6" t="s">
        <v>143</v>
      </c>
      <c r="B6" t="s">
        <v>12</v>
      </c>
      <c r="C6" t="s">
        <v>13</v>
      </c>
      <c r="D6" t="s">
        <v>144</v>
      </c>
      <c r="E6" t="s">
        <v>145</v>
      </c>
      <c r="F6" t="s">
        <v>16</v>
      </c>
      <c r="G6" s="2">
        <v>100</v>
      </c>
      <c r="H6" s="2">
        <v>98</v>
      </c>
      <c r="I6" t="s">
        <v>511</v>
      </c>
      <c r="J6" t="s">
        <v>512</v>
      </c>
    </row>
    <row r="7" spans="1:11" x14ac:dyDescent="0.35">
      <c r="A7" t="s">
        <v>159</v>
      </c>
      <c r="B7" t="s">
        <v>12</v>
      </c>
      <c r="C7" t="s">
        <v>13</v>
      </c>
      <c r="D7" t="s">
        <v>160</v>
      </c>
      <c r="E7" t="s">
        <v>161</v>
      </c>
      <c r="F7" t="s">
        <v>16</v>
      </c>
      <c r="G7" s="2">
        <v>100</v>
      </c>
      <c r="H7" s="2">
        <v>98</v>
      </c>
      <c r="I7" t="s">
        <v>513</v>
      </c>
      <c r="J7" t="s">
        <v>514</v>
      </c>
      <c r="K7" t="s">
        <v>515</v>
      </c>
    </row>
    <row r="8" spans="1:11" x14ac:dyDescent="0.35">
      <c r="A8" t="s">
        <v>39</v>
      </c>
      <c r="B8" t="s">
        <v>12</v>
      </c>
      <c r="C8" t="s">
        <v>13</v>
      </c>
      <c r="D8" t="s">
        <v>40</v>
      </c>
      <c r="E8" t="s">
        <v>41</v>
      </c>
      <c r="F8" t="s">
        <v>16</v>
      </c>
      <c r="G8" s="2">
        <v>100</v>
      </c>
      <c r="H8" s="2">
        <v>98</v>
      </c>
      <c r="I8" t="s">
        <v>516</v>
      </c>
      <c r="J8" t="s">
        <v>517</v>
      </c>
    </row>
    <row r="9" spans="1:11" x14ac:dyDescent="0.35">
      <c r="A9" t="s">
        <v>83</v>
      </c>
      <c r="B9" t="s">
        <v>12</v>
      </c>
      <c r="C9" t="s">
        <v>13</v>
      </c>
      <c r="D9" t="s">
        <v>84</v>
      </c>
      <c r="E9" t="s">
        <v>85</v>
      </c>
      <c r="F9" t="s">
        <v>16</v>
      </c>
      <c r="G9" s="2">
        <v>100</v>
      </c>
      <c r="H9" s="2">
        <v>98</v>
      </c>
      <c r="I9" t="s">
        <v>518</v>
      </c>
      <c r="J9" t="s">
        <v>519</v>
      </c>
    </row>
    <row r="10" spans="1:11" x14ac:dyDescent="0.35">
      <c r="A10" t="s">
        <v>118</v>
      </c>
      <c r="B10" t="s">
        <v>12</v>
      </c>
      <c r="C10" t="s">
        <v>13</v>
      </c>
      <c r="D10" t="s">
        <v>119</v>
      </c>
      <c r="E10" t="s">
        <v>120</v>
      </c>
      <c r="F10" t="s">
        <v>16</v>
      </c>
      <c r="G10" s="2">
        <v>100</v>
      </c>
      <c r="H10" s="2">
        <v>97</v>
      </c>
      <c r="I10" t="s">
        <v>520</v>
      </c>
      <c r="J10" t="s">
        <v>521</v>
      </c>
    </row>
    <row r="11" spans="1:11" x14ac:dyDescent="0.35">
      <c r="A11" t="s">
        <v>113</v>
      </c>
      <c r="B11" t="s">
        <v>12</v>
      </c>
      <c r="C11" t="s">
        <v>13</v>
      </c>
      <c r="D11" t="s">
        <v>114</v>
      </c>
      <c r="E11" t="s">
        <v>115</v>
      </c>
      <c r="F11" t="s">
        <v>16</v>
      </c>
      <c r="G11" s="2">
        <v>100</v>
      </c>
      <c r="H11" s="2">
        <v>96</v>
      </c>
      <c r="I11" t="s">
        <v>522</v>
      </c>
      <c r="J11" t="s">
        <v>523</v>
      </c>
    </row>
    <row r="12" spans="1:11" x14ac:dyDescent="0.35">
      <c r="A12" t="s">
        <v>72</v>
      </c>
      <c r="B12" t="s">
        <v>12</v>
      </c>
      <c r="C12" t="s">
        <v>13</v>
      </c>
      <c r="D12" t="s">
        <v>73</v>
      </c>
      <c r="E12" t="s">
        <v>74</v>
      </c>
      <c r="F12" t="s">
        <v>16</v>
      </c>
      <c r="G12" s="2">
        <v>100</v>
      </c>
      <c r="H12" s="2">
        <v>98</v>
      </c>
      <c r="I12" t="s">
        <v>524</v>
      </c>
      <c r="J12" t="s">
        <v>525</v>
      </c>
    </row>
    <row r="13" spans="1:11" x14ac:dyDescent="0.35">
      <c r="A13" t="s">
        <v>59</v>
      </c>
      <c r="B13" t="s">
        <v>12</v>
      </c>
      <c r="C13" t="s">
        <v>13</v>
      </c>
      <c r="D13" t="s">
        <v>60</v>
      </c>
      <c r="E13" t="s">
        <v>61</v>
      </c>
      <c r="F13" t="s">
        <v>16</v>
      </c>
      <c r="G13" s="2">
        <v>100</v>
      </c>
      <c r="H13" s="2">
        <v>98</v>
      </c>
      <c r="I13" t="s">
        <v>526</v>
      </c>
      <c r="J13" t="s">
        <v>527</v>
      </c>
    </row>
    <row r="14" spans="1:11" x14ac:dyDescent="0.35">
      <c r="A14" t="s">
        <v>64</v>
      </c>
      <c r="B14" t="s">
        <v>12</v>
      </c>
      <c r="C14" t="s">
        <v>13</v>
      </c>
      <c r="D14" t="s">
        <v>65</v>
      </c>
      <c r="E14" t="s">
        <v>66</v>
      </c>
      <c r="F14" t="s">
        <v>16</v>
      </c>
      <c r="G14" s="2">
        <v>100</v>
      </c>
      <c r="H14" s="2">
        <v>98</v>
      </c>
      <c r="I14" t="s">
        <v>528</v>
      </c>
      <c r="J14" t="s">
        <v>529</v>
      </c>
    </row>
    <row r="15" spans="1:11" x14ac:dyDescent="0.35">
      <c r="A15" t="s">
        <v>68</v>
      </c>
      <c r="B15" t="s">
        <v>12</v>
      </c>
      <c r="C15" t="s">
        <v>13</v>
      </c>
      <c r="D15" t="s">
        <v>69</v>
      </c>
      <c r="E15" t="s">
        <v>70</v>
      </c>
      <c r="F15" t="s">
        <v>16</v>
      </c>
      <c r="G15" s="2">
        <v>100</v>
      </c>
      <c r="H15" s="2">
        <v>98</v>
      </c>
      <c r="I15" t="s">
        <v>530</v>
      </c>
      <c r="J15" t="s">
        <v>531</v>
      </c>
    </row>
    <row r="16" spans="1:11" x14ac:dyDescent="0.35">
      <c r="A16" t="s">
        <v>24</v>
      </c>
      <c r="B16" t="s">
        <v>12</v>
      </c>
      <c r="C16" t="s">
        <v>13</v>
      </c>
      <c r="D16" t="s">
        <v>25</v>
      </c>
      <c r="E16" t="s">
        <v>26</v>
      </c>
      <c r="F16" t="s">
        <v>16</v>
      </c>
      <c r="G16" s="2">
        <v>100</v>
      </c>
      <c r="H16" s="2">
        <v>98</v>
      </c>
      <c r="I16" t="s">
        <v>532</v>
      </c>
      <c r="J16" t="s">
        <v>533</v>
      </c>
    </row>
    <row r="17" spans="1:11" x14ac:dyDescent="0.35">
      <c r="A17" t="s">
        <v>147</v>
      </c>
      <c r="B17" t="s">
        <v>12</v>
      </c>
      <c r="C17" t="s">
        <v>13</v>
      </c>
      <c r="D17" t="s">
        <v>148</v>
      </c>
      <c r="E17" t="s">
        <v>149</v>
      </c>
      <c r="F17" t="s">
        <v>16</v>
      </c>
      <c r="G17" s="2">
        <v>100</v>
      </c>
      <c r="H17" s="2">
        <v>98</v>
      </c>
      <c r="I17" t="s">
        <v>534</v>
      </c>
      <c r="J17" t="s">
        <v>535</v>
      </c>
    </row>
    <row r="18" spans="1:11" x14ac:dyDescent="0.35">
      <c r="A18" t="s">
        <v>138</v>
      </c>
      <c r="B18" t="s">
        <v>12</v>
      </c>
      <c r="C18" t="s">
        <v>13</v>
      </c>
      <c r="D18" t="s">
        <v>139</v>
      </c>
      <c r="E18" t="s">
        <v>140</v>
      </c>
      <c r="F18" t="s">
        <v>16</v>
      </c>
      <c r="G18" s="2">
        <v>100</v>
      </c>
      <c r="H18" s="2">
        <v>98</v>
      </c>
      <c r="I18" t="s">
        <v>536</v>
      </c>
      <c r="J18" t="s">
        <v>537</v>
      </c>
      <c r="K18" t="s">
        <v>538</v>
      </c>
    </row>
    <row r="19" spans="1:11" x14ac:dyDescent="0.35">
      <c r="A19" t="s">
        <v>49</v>
      </c>
      <c r="B19" t="s">
        <v>12</v>
      </c>
      <c r="C19" t="s">
        <v>13</v>
      </c>
      <c r="D19" t="s">
        <v>50</v>
      </c>
      <c r="E19" t="s">
        <v>51</v>
      </c>
      <c r="F19" t="s">
        <v>16</v>
      </c>
      <c r="G19" s="2">
        <v>100</v>
      </c>
      <c r="H19" s="2">
        <v>98</v>
      </c>
      <c r="I19" t="s">
        <v>539</v>
      </c>
      <c r="J19" t="s">
        <v>540</v>
      </c>
    </row>
    <row r="20" spans="1:11" x14ac:dyDescent="0.35">
      <c r="A20" t="s">
        <v>192</v>
      </c>
      <c r="B20" t="s">
        <v>12</v>
      </c>
      <c r="C20" t="s">
        <v>13</v>
      </c>
      <c r="D20" t="s">
        <v>193</v>
      </c>
      <c r="E20" t="s">
        <v>194</v>
      </c>
      <c r="F20" t="s">
        <v>16</v>
      </c>
      <c r="G20" s="2">
        <v>100</v>
      </c>
      <c r="H20" s="2">
        <v>98</v>
      </c>
      <c r="I20" t="s">
        <v>541</v>
      </c>
      <c r="J20" t="s">
        <v>542</v>
      </c>
    </row>
    <row r="21" spans="1:11" x14ac:dyDescent="0.35">
      <c r="A21" t="s">
        <v>93</v>
      </c>
      <c r="B21" t="s">
        <v>12</v>
      </c>
      <c r="C21" t="s">
        <v>13</v>
      </c>
      <c r="D21" t="s">
        <v>94</v>
      </c>
      <c r="E21" t="s">
        <v>95</v>
      </c>
      <c r="F21" t="s">
        <v>16</v>
      </c>
      <c r="G21" s="2">
        <v>100</v>
      </c>
      <c r="H21" s="2">
        <v>98</v>
      </c>
      <c r="I21" t="s">
        <v>543</v>
      </c>
      <c r="J21" t="s">
        <v>544</v>
      </c>
    </row>
    <row r="22" spans="1:11" x14ac:dyDescent="0.35">
      <c r="A22" t="s">
        <v>98</v>
      </c>
      <c r="B22" t="s">
        <v>12</v>
      </c>
      <c r="C22" t="s">
        <v>13</v>
      </c>
      <c r="D22" t="s">
        <v>99</v>
      </c>
      <c r="E22" t="s">
        <v>100</v>
      </c>
      <c r="F22" t="s">
        <v>16</v>
      </c>
      <c r="G22" s="2">
        <v>100</v>
      </c>
      <c r="H22" s="2">
        <v>95</v>
      </c>
      <c r="I22" t="s">
        <v>545</v>
      </c>
      <c r="J22" t="s">
        <v>546</v>
      </c>
    </row>
    <row r="23" spans="1:11" x14ac:dyDescent="0.35">
      <c r="A23" t="s">
        <v>44</v>
      </c>
      <c r="B23" t="s">
        <v>12</v>
      </c>
      <c r="C23" t="s">
        <v>13</v>
      </c>
      <c r="D23" t="s">
        <v>45</v>
      </c>
      <c r="E23" t="s">
        <v>46</v>
      </c>
      <c r="F23" t="s">
        <v>16</v>
      </c>
      <c r="G23" s="2">
        <v>100</v>
      </c>
      <c r="H23" s="2">
        <v>96</v>
      </c>
      <c r="I23" t="s">
        <v>547</v>
      </c>
      <c r="J23" t="s">
        <v>548</v>
      </c>
    </row>
    <row r="24" spans="1:11" x14ac:dyDescent="0.35">
      <c r="A24" t="s">
        <v>77</v>
      </c>
      <c r="B24" t="s">
        <v>12</v>
      </c>
      <c r="C24" t="s">
        <v>13</v>
      </c>
      <c r="D24" t="s">
        <v>78</v>
      </c>
      <c r="E24" t="s">
        <v>79</v>
      </c>
      <c r="F24" t="s">
        <v>16</v>
      </c>
      <c r="G24" s="2">
        <v>100</v>
      </c>
      <c r="H24" s="2">
        <v>96</v>
      </c>
      <c r="I24" t="s">
        <v>549</v>
      </c>
      <c r="J24" t="s">
        <v>550</v>
      </c>
      <c r="K24" t="s">
        <v>551</v>
      </c>
    </row>
    <row r="25" spans="1:11" x14ac:dyDescent="0.35">
      <c r="A25" t="s">
        <v>103</v>
      </c>
      <c r="B25" t="s">
        <v>12</v>
      </c>
      <c r="C25" t="s">
        <v>13</v>
      </c>
      <c r="D25" t="s">
        <v>104</v>
      </c>
      <c r="E25" t="s">
        <v>105</v>
      </c>
      <c r="F25" t="s">
        <v>16</v>
      </c>
      <c r="G25" s="2">
        <v>100</v>
      </c>
      <c r="H25" s="2">
        <v>96</v>
      </c>
      <c r="I25" t="s">
        <v>552</v>
      </c>
      <c r="J25" t="s">
        <v>553</v>
      </c>
    </row>
    <row r="26" spans="1:11" x14ac:dyDescent="0.35">
      <c r="A26" t="s">
        <v>30</v>
      </c>
      <c r="B26" t="s">
        <v>12</v>
      </c>
      <c r="C26" t="s">
        <v>13</v>
      </c>
      <c r="D26" t="s">
        <v>31</v>
      </c>
      <c r="E26" t="s">
        <v>32</v>
      </c>
      <c r="F26" t="s">
        <v>16</v>
      </c>
      <c r="G26" s="2">
        <v>100</v>
      </c>
      <c r="H26" s="2">
        <v>96</v>
      </c>
      <c r="I26" t="s">
        <v>554</v>
      </c>
      <c r="J26" t="s">
        <v>555</v>
      </c>
      <c r="K26" t="s">
        <v>556</v>
      </c>
    </row>
    <row r="27" spans="1:11" x14ac:dyDescent="0.35">
      <c r="A27" t="s">
        <v>88</v>
      </c>
      <c r="B27" t="s">
        <v>12</v>
      </c>
      <c r="C27" t="s">
        <v>13</v>
      </c>
      <c r="D27" t="s">
        <v>89</v>
      </c>
      <c r="E27" t="s">
        <v>90</v>
      </c>
      <c r="F27" t="s">
        <v>16</v>
      </c>
      <c r="G27" s="2">
        <v>100</v>
      </c>
      <c r="H27" s="2">
        <v>96</v>
      </c>
      <c r="I27" t="s">
        <v>557</v>
      </c>
      <c r="J27" t="s">
        <v>558</v>
      </c>
    </row>
    <row r="28" spans="1:11" x14ac:dyDescent="0.35">
      <c r="A28" t="s">
        <v>237</v>
      </c>
      <c r="B28" t="s">
        <v>12</v>
      </c>
      <c r="C28" t="s">
        <v>13</v>
      </c>
      <c r="D28" t="s">
        <v>238</v>
      </c>
      <c r="E28" t="s">
        <v>239</v>
      </c>
      <c r="F28" t="s">
        <v>16</v>
      </c>
      <c r="G28" s="2">
        <v>100</v>
      </c>
      <c r="H28" s="2">
        <v>96</v>
      </c>
      <c r="I28" t="s">
        <v>559</v>
      </c>
      <c r="J28" t="s">
        <v>560</v>
      </c>
    </row>
    <row r="29" spans="1:11" x14ac:dyDescent="0.35">
      <c r="A29" t="s">
        <v>127</v>
      </c>
      <c r="B29" t="s">
        <v>12</v>
      </c>
      <c r="C29" t="s">
        <v>13</v>
      </c>
      <c r="D29" t="s">
        <v>128</v>
      </c>
      <c r="E29" t="s">
        <v>129</v>
      </c>
      <c r="F29" t="s">
        <v>16</v>
      </c>
      <c r="G29" s="2">
        <v>100</v>
      </c>
      <c r="H29" s="2">
        <v>98</v>
      </c>
      <c r="I29" t="s">
        <v>561</v>
      </c>
      <c r="J29" t="s">
        <v>562</v>
      </c>
    </row>
    <row r="30" spans="1:11" x14ac:dyDescent="0.35">
      <c r="A30" t="s">
        <v>123</v>
      </c>
      <c r="B30" t="s">
        <v>12</v>
      </c>
      <c r="C30" t="s">
        <v>13</v>
      </c>
      <c r="D30" t="s">
        <v>124</v>
      </c>
      <c r="E30" t="s">
        <v>125</v>
      </c>
      <c r="F30" t="s">
        <v>16</v>
      </c>
      <c r="G30" s="2">
        <v>100</v>
      </c>
      <c r="H30" s="2">
        <v>95</v>
      </c>
      <c r="I30" t="s">
        <v>563</v>
      </c>
      <c r="J30" t="s">
        <v>564</v>
      </c>
    </row>
    <row r="31" spans="1:11" x14ac:dyDescent="0.35">
      <c r="A31" t="s">
        <v>132</v>
      </c>
      <c r="B31" t="s">
        <v>12</v>
      </c>
      <c r="C31" t="s">
        <v>13</v>
      </c>
      <c r="D31" t="s">
        <v>133</v>
      </c>
      <c r="E31" t="s">
        <v>134</v>
      </c>
      <c r="F31" t="s">
        <v>16</v>
      </c>
      <c r="G31" s="2">
        <v>100</v>
      </c>
      <c r="H31" s="2">
        <v>95</v>
      </c>
      <c r="I31" t="s">
        <v>565</v>
      </c>
      <c r="J31" t="s">
        <v>566</v>
      </c>
      <c r="K31" t="s">
        <v>567</v>
      </c>
    </row>
    <row r="32" spans="1:11" x14ac:dyDescent="0.35">
      <c r="A32" t="s">
        <v>369</v>
      </c>
      <c r="B32" t="s">
        <v>12</v>
      </c>
      <c r="C32" t="s">
        <v>13</v>
      </c>
      <c r="D32" t="s">
        <v>370</v>
      </c>
      <c r="E32" t="s">
        <v>371</v>
      </c>
      <c r="F32" t="s">
        <v>16</v>
      </c>
      <c r="G32" s="2">
        <v>100</v>
      </c>
      <c r="H32" s="2">
        <v>95</v>
      </c>
      <c r="I32" t="s">
        <v>568</v>
      </c>
      <c r="J32" t="s">
        <v>569</v>
      </c>
    </row>
    <row r="33" spans="1:10" x14ac:dyDescent="0.35">
      <c r="A33" t="s">
        <v>232</v>
      </c>
      <c r="B33" t="s">
        <v>12</v>
      </c>
      <c r="C33" t="s">
        <v>13</v>
      </c>
      <c r="D33" t="s">
        <v>233</v>
      </c>
      <c r="E33" t="s">
        <v>234</v>
      </c>
      <c r="F33" t="s">
        <v>16</v>
      </c>
      <c r="G33" s="2">
        <v>100</v>
      </c>
      <c r="H33" s="2">
        <v>95</v>
      </c>
      <c r="I33" t="s">
        <v>570</v>
      </c>
      <c r="J33" t="s">
        <v>571</v>
      </c>
    </row>
    <row r="34" spans="1:10" x14ac:dyDescent="0.35">
      <c r="A34" t="s">
        <v>108</v>
      </c>
      <c r="B34" t="s">
        <v>12</v>
      </c>
      <c r="C34" t="s">
        <v>13</v>
      </c>
      <c r="D34" t="s">
        <v>109</v>
      </c>
      <c r="E34" t="s">
        <v>110</v>
      </c>
      <c r="F34" t="s">
        <v>16</v>
      </c>
      <c r="G34" s="2">
        <v>100</v>
      </c>
      <c r="H34" s="2">
        <v>90</v>
      </c>
      <c r="I34" t="s">
        <v>572</v>
      </c>
      <c r="J34" t="s">
        <v>573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2A51-DCD1-4A2C-BFAE-4373CA450831}">
  <dimension ref="A1:K36"/>
  <sheetViews>
    <sheetView topLeftCell="A17" workbookViewId="0">
      <selection activeCell="A2" sqref="A2"/>
    </sheetView>
  </sheetViews>
  <sheetFormatPr defaultRowHeight="14.5" x14ac:dyDescent="0.35"/>
  <cols>
    <col min="1" max="1" width="10.36328125" bestFit="1" customWidth="1"/>
    <col min="2" max="2" width="6.36328125" bestFit="1" customWidth="1"/>
    <col min="3" max="3" width="10.1796875" bestFit="1" customWidth="1"/>
    <col min="4" max="4" width="25.6328125" bestFit="1" customWidth="1"/>
    <col min="5" max="5" width="29.36328125" bestFit="1" customWidth="1"/>
    <col min="6" max="6" width="6.7265625" bestFit="1" customWidth="1"/>
    <col min="7" max="7" width="3.81640625" bestFit="1" customWidth="1"/>
    <col min="9" max="9" width="31.1796875" bestFit="1" customWidth="1"/>
    <col min="10" max="10" width="35.54296875" bestFit="1" customWidth="1"/>
    <col min="11" max="11" width="57.4531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s="5" customFormat="1" x14ac:dyDescent="0.35">
      <c r="A2" s="4" t="s">
        <v>44</v>
      </c>
      <c r="B2" s="4" t="s">
        <v>12</v>
      </c>
      <c r="C2" s="4" t="s">
        <v>13</v>
      </c>
      <c r="D2" s="4" t="s">
        <v>45</v>
      </c>
      <c r="E2" s="4" t="s">
        <v>46</v>
      </c>
      <c r="F2" s="4" t="s">
        <v>16</v>
      </c>
      <c r="G2" s="4">
        <v>100</v>
      </c>
      <c r="H2" s="4"/>
      <c r="I2" s="4" t="s">
        <v>574</v>
      </c>
      <c r="J2" s="4" t="s">
        <v>575</v>
      </c>
      <c r="K2" s="4" t="s">
        <v>576</v>
      </c>
    </row>
    <row r="3" spans="1:11" x14ac:dyDescent="0.35">
      <c r="A3" s="3" t="s">
        <v>152</v>
      </c>
      <c r="B3" s="3" t="s">
        <v>12</v>
      </c>
      <c r="C3" s="3" t="s">
        <v>13</v>
      </c>
      <c r="D3" s="3" t="s">
        <v>153</v>
      </c>
      <c r="E3" s="3" t="s">
        <v>154</v>
      </c>
      <c r="F3" s="3" t="s">
        <v>16</v>
      </c>
      <c r="G3" s="3">
        <v>100</v>
      </c>
      <c r="H3" s="3"/>
      <c r="I3" s="3" t="s">
        <v>578</v>
      </c>
      <c r="J3" s="3" t="s">
        <v>579</v>
      </c>
      <c r="K3" s="3" t="s">
        <v>580</v>
      </c>
    </row>
    <row r="4" spans="1:11" x14ac:dyDescent="0.35">
      <c r="A4" s="3" t="s">
        <v>143</v>
      </c>
      <c r="B4" s="3" t="s">
        <v>12</v>
      </c>
      <c r="C4" s="3" t="s">
        <v>13</v>
      </c>
      <c r="D4" s="3" t="s">
        <v>144</v>
      </c>
      <c r="E4" s="3" t="s">
        <v>145</v>
      </c>
      <c r="F4" s="3" t="s">
        <v>16</v>
      </c>
      <c r="G4" s="3">
        <v>100</v>
      </c>
      <c r="H4" s="3"/>
      <c r="I4" s="3" t="s">
        <v>581</v>
      </c>
      <c r="J4" s="3" t="s">
        <v>582</v>
      </c>
      <c r="K4" s="3" t="s">
        <v>577</v>
      </c>
    </row>
    <row r="5" spans="1:11" x14ac:dyDescent="0.35">
      <c r="A5" s="3" t="s">
        <v>19</v>
      </c>
      <c r="B5" s="3" t="s">
        <v>12</v>
      </c>
      <c r="C5" s="3" t="s">
        <v>13</v>
      </c>
      <c r="D5" s="3" t="s">
        <v>20</v>
      </c>
      <c r="E5" s="3" t="s">
        <v>21</v>
      </c>
      <c r="F5" s="3" t="s">
        <v>16</v>
      </c>
      <c r="G5" s="3">
        <v>100</v>
      </c>
      <c r="H5" s="3"/>
      <c r="I5" s="3" t="s">
        <v>583</v>
      </c>
      <c r="J5" s="3" t="s">
        <v>584</v>
      </c>
      <c r="K5" s="3"/>
    </row>
    <row r="6" spans="1:11" x14ac:dyDescent="0.35">
      <c r="A6" s="3" t="s">
        <v>59</v>
      </c>
      <c r="B6" s="3" t="s">
        <v>12</v>
      </c>
      <c r="C6" s="3" t="s">
        <v>13</v>
      </c>
      <c r="D6" s="3" t="s">
        <v>60</v>
      </c>
      <c r="E6" s="3" t="s">
        <v>61</v>
      </c>
      <c r="F6" s="3" t="s">
        <v>16</v>
      </c>
      <c r="G6" s="3">
        <v>100</v>
      </c>
      <c r="H6" s="3"/>
      <c r="I6" s="3" t="s">
        <v>585</v>
      </c>
      <c r="J6" s="3" t="s">
        <v>586</v>
      </c>
      <c r="K6" s="3"/>
    </row>
    <row r="7" spans="1:11" x14ac:dyDescent="0.35">
      <c r="A7" s="3" t="s">
        <v>64</v>
      </c>
      <c r="B7" s="3" t="s">
        <v>12</v>
      </c>
      <c r="C7" s="3" t="s">
        <v>13</v>
      </c>
      <c r="D7" s="3" t="s">
        <v>65</v>
      </c>
      <c r="E7" s="3" t="s">
        <v>66</v>
      </c>
      <c r="F7" s="3" t="s">
        <v>16</v>
      </c>
      <c r="G7" s="3">
        <v>100</v>
      </c>
      <c r="H7" s="3"/>
      <c r="I7" s="3" t="s">
        <v>587</v>
      </c>
      <c r="J7" s="3" t="s">
        <v>588</v>
      </c>
      <c r="K7" s="3"/>
    </row>
    <row r="8" spans="1:11" x14ac:dyDescent="0.35">
      <c r="A8" s="3" t="s">
        <v>159</v>
      </c>
      <c r="B8" s="3" t="s">
        <v>12</v>
      </c>
      <c r="C8" s="3" t="s">
        <v>13</v>
      </c>
      <c r="D8" s="3" t="s">
        <v>160</v>
      </c>
      <c r="E8" s="3" t="s">
        <v>161</v>
      </c>
      <c r="F8" s="3" t="s">
        <v>16</v>
      </c>
      <c r="G8" s="3">
        <v>100</v>
      </c>
      <c r="H8" s="3"/>
      <c r="I8" s="3" t="s">
        <v>589</v>
      </c>
      <c r="J8" s="3" t="s">
        <v>590</v>
      </c>
      <c r="K8" s="3"/>
    </row>
    <row r="9" spans="1:11" x14ac:dyDescent="0.35">
      <c r="A9" s="3" t="s">
        <v>39</v>
      </c>
      <c r="B9" s="3" t="s">
        <v>12</v>
      </c>
      <c r="C9" s="3" t="s">
        <v>13</v>
      </c>
      <c r="D9" s="3" t="s">
        <v>40</v>
      </c>
      <c r="E9" s="3" t="s">
        <v>41</v>
      </c>
      <c r="F9" s="3" t="s">
        <v>16</v>
      </c>
      <c r="G9" s="3">
        <v>100</v>
      </c>
      <c r="H9" s="3"/>
      <c r="I9" s="3" t="s">
        <v>591</v>
      </c>
      <c r="J9" s="3" t="s">
        <v>592</v>
      </c>
      <c r="K9" s="3"/>
    </row>
    <row r="10" spans="1:11" x14ac:dyDescent="0.35">
      <c r="A10" s="3" t="s">
        <v>123</v>
      </c>
      <c r="B10" s="3" t="s">
        <v>12</v>
      </c>
      <c r="C10" s="3" t="s">
        <v>13</v>
      </c>
      <c r="D10" s="3" t="s">
        <v>124</v>
      </c>
      <c r="E10" s="3" t="s">
        <v>125</v>
      </c>
      <c r="F10" s="3" t="s">
        <v>16</v>
      </c>
      <c r="G10" s="3">
        <v>100</v>
      </c>
      <c r="H10" s="3"/>
      <c r="I10" s="3" t="s">
        <v>593</v>
      </c>
      <c r="J10" s="3" t="s">
        <v>594</v>
      </c>
      <c r="K10" s="3"/>
    </row>
    <row r="11" spans="1:11" x14ac:dyDescent="0.35">
      <c r="A11" s="3" t="s">
        <v>98</v>
      </c>
      <c r="B11" s="3" t="s">
        <v>12</v>
      </c>
      <c r="C11" s="3" t="s">
        <v>13</v>
      </c>
      <c r="D11" s="3" t="s">
        <v>99</v>
      </c>
      <c r="E11" s="3" t="s">
        <v>100</v>
      </c>
      <c r="F11" s="3" t="s">
        <v>16</v>
      </c>
      <c r="G11" s="3">
        <v>100</v>
      </c>
      <c r="H11" s="3"/>
      <c r="I11" s="3" t="s">
        <v>595</v>
      </c>
      <c r="J11" s="3" t="s">
        <v>596</v>
      </c>
      <c r="K11" s="3"/>
    </row>
    <row r="12" spans="1:11" x14ac:dyDescent="0.35">
      <c r="A12" s="3" t="s">
        <v>68</v>
      </c>
      <c r="B12" s="3" t="s">
        <v>12</v>
      </c>
      <c r="C12" s="3" t="s">
        <v>13</v>
      </c>
      <c r="D12" s="3" t="s">
        <v>69</v>
      </c>
      <c r="E12" s="3" t="s">
        <v>70</v>
      </c>
      <c r="F12" s="3" t="s">
        <v>16</v>
      </c>
      <c r="G12" s="3">
        <v>100</v>
      </c>
      <c r="H12" s="3"/>
      <c r="I12" s="3" t="s">
        <v>597</v>
      </c>
      <c r="J12" s="3" t="s">
        <v>598</v>
      </c>
      <c r="K12" s="3"/>
    </row>
    <row r="13" spans="1:11" x14ac:dyDescent="0.35">
      <c r="A13" s="3" t="s">
        <v>138</v>
      </c>
      <c r="B13" s="3" t="s">
        <v>12</v>
      </c>
      <c r="C13" s="3" t="s">
        <v>13</v>
      </c>
      <c r="D13" s="3" t="s">
        <v>139</v>
      </c>
      <c r="E13" s="3" t="s">
        <v>140</v>
      </c>
      <c r="F13" s="3" t="s">
        <v>16</v>
      </c>
      <c r="G13" s="3">
        <v>100</v>
      </c>
      <c r="H13" s="3"/>
      <c r="I13" s="3" t="s">
        <v>599</v>
      </c>
      <c r="J13" s="3" t="s">
        <v>600</v>
      </c>
      <c r="K13" s="3" t="s">
        <v>601</v>
      </c>
    </row>
    <row r="14" spans="1:11" x14ac:dyDescent="0.35">
      <c r="A14" s="3" t="s">
        <v>113</v>
      </c>
      <c r="B14" s="3" t="s">
        <v>12</v>
      </c>
      <c r="C14" s="3" t="s">
        <v>13</v>
      </c>
      <c r="D14" s="3" t="s">
        <v>114</v>
      </c>
      <c r="E14" s="3" t="s">
        <v>115</v>
      </c>
      <c r="F14" s="3" t="s">
        <v>16</v>
      </c>
      <c r="G14" s="3">
        <v>100</v>
      </c>
      <c r="H14" s="3"/>
      <c r="I14" s="3" t="s">
        <v>602</v>
      </c>
      <c r="J14" s="3" t="s">
        <v>603</v>
      </c>
      <c r="K14" s="3"/>
    </row>
    <row r="15" spans="1:11" x14ac:dyDescent="0.35">
      <c r="A15" s="3" t="s">
        <v>72</v>
      </c>
      <c r="B15" s="3" t="s">
        <v>12</v>
      </c>
      <c r="C15" s="3" t="s">
        <v>13</v>
      </c>
      <c r="D15" s="3" t="s">
        <v>73</v>
      </c>
      <c r="E15" s="3" t="s">
        <v>74</v>
      </c>
      <c r="F15" s="3" t="s">
        <v>16</v>
      </c>
      <c r="G15" s="3">
        <v>100</v>
      </c>
      <c r="H15" s="3"/>
      <c r="I15" s="3" t="s">
        <v>604</v>
      </c>
      <c r="J15" s="3" t="s">
        <v>605</v>
      </c>
      <c r="K15" s="3"/>
    </row>
    <row r="16" spans="1:11" x14ac:dyDescent="0.35">
      <c r="A16" s="3" t="s">
        <v>103</v>
      </c>
      <c r="B16" s="3" t="s">
        <v>12</v>
      </c>
      <c r="C16" s="3" t="s">
        <v>13</v>
      </c>
      <c r="D16" s="3" t="s">
        <v>104</v>
      </c>
      <c r="E16" s="3" t="s">
        <v>105</v>
      </c>
      <c r="F16" s="3" t="s">
        <v>16</v>
      </c>
      <c r="G16" s="3">
        <v>100</v>
      </c>
      <c r="H16" s="3"/>
      <c r="I16" s="3" t="s">
        <v>606</v>
      </c>
      <c r="J16" s="3" t="s">
        <v>607</v>
      </c>
      <c r="K16" s="3"/>
    </row>
    <row r="17" spans="1:11" x14ac:dyDescent="0.35">
      <c r="A17" s="3" t="s">
        <v>83</v>
      </c>
      <c r="B17" s="3" t="s">
        <v>12</v>
      </c>
      <c r="C17" s="3" t="s">
        <v>13</v>
      </c>
      <c r="D17" s="3" t="s">
        <v>84</v>
      </c>
      <c r="E17" s="3" t="s">
        <v>85</v>
      </c>
      <c r="F17" s="3" t="s">
        <v>16</v>
      </c>
      <c r="G17" s="3">
        <v>100</v>
      </c>
      <c r="H17" s="3"/>
      <c r="I17" s="3" t="s">
        <v>608</v>
      </c>
      <c r="J17" s="3" t="s">
        <v>609</v>
      </c>
      <c r="K17" s="3"/>
    </row>
    <row r="18" spans="1:11" x14ac:dyDescent="0.35">
      <c r="A18" s="3" t="s">
        <v>165</v>
      </c>
      <c r="B18" s="3" t="s">
        <v>12</v>
      </c>
      <c r="C18" s="3" t="s">
        <v>13</v>
      </c>
      <c r="D18" s="3" t="s">
        <v>166</v>
      </c>
      <c r="E18" s="3" t="s">
        <v>167</v>
      </c>
      <c r="F18" s="3" t="s">
        <v>16</v>
      </c>
      <c r="G18" s="3">
        <v>100</v>
      </c>
      <c r="H18" s="3"/>
      <c r="I18" s="3" t="s">
        <v>610</v>
      </c>
      <c r="J18" s="3" t="s">
        <v>611</v>
      </c>
      <c r="K18" s="3" t="s">
        <v>612</v>
      </c>
    </row>
    <row r="19" spans="1:11" x14ac:dyDescent="0.35">
      <c r="A19" s="3" t="s">
        <v>77</v>
      </c>
      <c r="B19" s="3" t="s">
        <v>12</v>
      </c>
      <c r="C19" s="3" t="s">
        <v>13</v>
      </c>
      <c r="D19" s="3" t="s">
        <v>78</v>
      </c>
      <c r="E19" s="3" t="s">
        <v>79</v>
      </c>
      <c r="F19" s="3" t="s">
        <v>16</v>
      </c>
      <c r="G19" s="3">
        <v>100</v>
      </c>
      <c r="H19" s="3"/>
      <c r="I19" s="3" t="s">
        <v>613</v>
      </c>
      <c r="J19" s="3" t="s">
        <v>614</v>
      </c>
      <c r="K19" s="3" t="s">
        <v>615</v>
      </c>
    </row>
    <row r="20" spans="1:11" x14ac:dyDescent="0.35">
      <c r="A20" s="3" t="s">
        <v>30</v>
      </c>
      <c r="B20" s="3" t="s">
        <v>12</v>
      </c>
      <c r="C20" s="3" t="s">
        <v>13</v>
      </c>
      <c r="D20" s="3" t="s">
        <v>31</v>
      </c>
      <c r="E20" s="3" t="s">
        <v>32</v>
      </c>
      <c r="F20" s="3" t="s">
        <v>16</v>
      </c>
      <c r="G20" s="3">
        <v>100</v>
      </c>
      <c r="H20" s="3"/>
      <c r="I20" s="3" t="s">
        <v>616</v>
      </c>
      <c r="J20" s="3" t="s">
        <v>617</v>
      </c>
      <c r="K20" s="3" t="s">
        <v>618</v>
      </c>
    </row>
    <row r="21" spans="1:11" x14ac:dyDescent="0.35">
      <c r="A21" s="3" t="s">
        <v>118</v>
      </c>
      <c r="B21" s="3" t="s">
        <v>12</v>
      </c>
      <c r="C21" s="3" t="s">
        <v>13</v>
      </c>
      <c r="D21" s="3" t="s">
        <v>119</v>
      </c>
      <c r="E21" s="3" t="s">
        <v>120</v>
      </c>
      <c r="F21" s="3" t="s">
        <v>16</v>
      </c>
      <c r="G21" s="3">
        <v>100</v>
      </c>
      <c r="H21" s="3"/>
      <c r="I21" s="3" t="s">
        <v>619</v>
      </c>
      <c r="J21" s="3" t="s">
        <v>620</v>
      </c>
      <c r="K21" s="3"/>
    </row>
    <row r="22" spans="1:11" x14ac:dyDescent="0.35">
      <c r="A22" s="3" t="s">
        <v>54</v>
      </c>
      <c r="B22" s="3" t="s">
        <v>12</v>
      </c>
      <c r="C22" s="3" t="s">
        <v>13</v>
      </c>
      <c r="D22" s="3" t="s">
        <v>55</v>
      </c>
      <c r="E22" s="3" t="s">
        <v>56</v>
      </c>
      <c r="F22" s="3" t="s">
        <v>16</v>
      </c>
      <c r="G22" s="3">
        <v>100</v>
      </c>
      <c r="H22" s="3"/>
      <c r="I22" s="3" t="s">
        <v>621</v>
      </c>
      <c r="J22" s="3" t="s">
        <v>622</v>
      </c>
      <c r="K22" s="3"/>
    </row>
    <row r="23" spans="1:11" x14ac:dyDescent="0.35">
      <c r="A23" s="3" t="s">
        <v>24</v>
      </c>
      <c r="B23" s="3" t="s">
        <v>12</v>
      </c>
      <c r="C23" s="3" t="s">
        <v>13</v>
      </c>
      <c r="D23" s="3" t="s">
        <v>25</v>
      </c>
      <c r="E23" s="3" t="s">
        <v>26</v>
      </c>
      <c r="F23" s="3" t="s">
        <v>16</v>
      </c>
      <c r="G23" s="3">
        <v>100</v>
      </c>
      <c r="H23" s="3"/>
      <c r="I23" s="3" t="s">
        <v>623</v>
      </c>
      <c r="J23" s="3" t="s">
        <v>624</v>
      </c>
      <c r="K23" s="3"/>
    </row>
    <row r="24" spans="1:11" x14ac:dyDescent="0.35">
      <c r="A24" s="3" t="s">
        <v>625</v>
      </c>
      <c r="B24" s="3" t="s">
        <v>12</v>
      </c>
      <c r="C24" s="3" t="s">
        <v>13</v>
      </c>
      <c r="D24" s="3" t="s">
        <v>626</v>
      </c>
      <c r="E24" s="3" t="s">
        <v>627</v>
      </c>
      <c r="F24" s="3" t="s">
        <v>16</v>
      </c>
      <c r="G24" s="3">
        <v>100</v>
      </c>
      <c r="H24" s="3"/>
      <c r="I24" s="3" t="s">
        <v>628</v>
      </c>
      <c r="J24" s="3" t="s">
        <v>629</v>
      </c>
      <c r="K24" s="3"/>
    </row>
    <row r="25" spans="1:11" x14ac:dyDescent="0.35">
      <c r="A25" s="3" t="s">
        <v>127</v>
      </c>
      <c r="B25" s="3" t="s">
        <v>12</v>
      </c>
      <c r="C25" s="3" t="s">
        <v>13</v>
      </c>
      <c r="D25" s="3" t="s">
        <v>128</v>
      </c>
      <c r="E25" s="3" t="s">
        <v>129</v>
      </c>
      <c r="F25" s="3" t="s">
        <v>16</v>
      </c>
      <c r="G25" s="3">
        <v>100</v>
      </c>
      <c r="H25" s="3"/>
      <c r="I25" s="3" t="s">
        <v>630</v>
      </c>
      <c r="J25" s="3" t="s">
        <v>631</v>
      </c>
      <c r="K25" s="3"/>
    </row>
    <row r="26" spans="1:11" x14ac:dyDescent="0.35">
      <c r="A26" s="3" t="s">
        <v>132</v>
      </c>
      <c r="B26" s="3" t="s">
        <v>12</v>
      </c>
      <c r="C26" s="3" t="s">
        <v>13</v>
      </c>
      <c r="D26" s="3" t="s">
        <v>133</v>
      </c>
      <c r="E26" s="3" t="s">
        <v>134</v>
      </c>
      <c r="F26" s="3" t="s">
        <v>16</v>
      </c>
      <c r="G26" s="3">
        <v>100</v>
      </c>
      <c r="H26" s="3"/>
      <c r="I26" s="3" t="s">
        <v>632</v>
      </c>
      <c r="J26" s="3" t="s">
        <v>633</v>
      </c>
      <c r="K26" s="3" t="s">
        <v>634</v>
      </c>
    </row>
    <row r="27" spans="1:11" x14ac:dyDescent="0.35">
      <c r="A27" s="3" t="s">
        <v>635</v>
      </c>
      <c r="B27" s="3" t="s">
        <v>12</v>
      </c>
      <c r="C27" s="3" t="s">
        <v>13</v>
      </c>
      <c r="D27" s="3" t="s">
        <v>636</v>
      </c>
      <c r="E27" s="3" t="s">
        <v>637</v>
      </c>
      <c r="F27" s="3" t="s">
        <v>16</v>
      </c>
      <c r="G27" s="3">
        <v>100</v>
      </c>
      <c r="H27" s="3"/>
      <c r="I27" s="3" t="s">
        <v>638</v>
      </c>
      <c r="J27" s="3" t="s">
        <v>639</v>
      </c>
      <c r="K27" s="3"/>
    </row>
    <row r="28" spans="1:11" x14ac:dyDescent="0.35">
      <c r="A28" s="3" t="s">
        <v>49</v>
      </c>
      <c r="B28" s="3" t="s">
        <v>12</v>
      </c>
      <c r="C28" s="3" t="s">
        <v>13</v>
      </c>
      <c r="D28" s="3" t="s">
        <v>50</v>
      </c>
      <c r="E28" s="3" t="s">
        <v>51</v>
      </c>
      <c r="F28" s="3" t="s">
        <v>16</v>
      </c>
      <c r="G28" s="3">
        <v>100</v>
      </c>
      <c r="H28" s="3"/>
      <c r="I28" s="3" t="s">
        <v>640</v>
      </c>
      <c r="J28" s="3" t="s">
        <v>641</v>
      </c>
      <c r="K28" s="3"/>
    </row>
    <row r="29" spans="1:11" x14ac:dyDescent="0.35">
      <c r="A29" s="3" t="s">
        <v>369</v>
      </c>
      <c r="B29" s="3" t="s">
        <v>12</v>
      </c>
      <c r="C29" s="3" t="s">
        <v>13</v>
      </c>
      <c r="D29" s="3" t="s">
        <v>370</v>
      </c>
      <c r="E29" s="3" t="s">
        <v>371</v>
      </c>
      <c r="F29" s="3" t="s">
        <v>16</v>
      </c>
      <c r="G29" s="3">
        <v>100</v>
      </c>
      <c r="H29" s="3"/>
      <c r="I29" s="3" t="s">
        <v>642</v>
      </c>
      <c r="J29" s="3" t="s">
        <v>643</v>
      </c>
      <c r="K29" s="3"/>
    </row>
    <row r="30" spans="1:11" x14ac:dyDescent="0.35">
      <c r="A30" s="3" t="s">
        <v>237</v>
      </c>
      <c r="B30" s="3" t="s">
        <v>12</v>
      </c>
      <c r="C30" s="3" t="s">
        <v>13</v>
      </c>
      <c r="D30" s="3" t="s">
        <v>238</v>
      </c>
      <c r="E30" s="3" t="s">
        <v>239</v>
      </c>
      <c r="F30" s="3" t="s">
        <v>16</v>
      </c>
      <c r="G30" s="3">
        <v>100</v>
      </c>
      <c r="H30" s="3"/>
      <c r="I30" s="3" t="s">
        <v>644</v>
      </c>
      <c r="J30" s="3" t="s">
        <v>645</v>
      </c>
      <c r="K30" s="3" t="s">
        <v>646</v>
      </c>
    </row>
    <row r="31" spans="1:11" x14ac:dyDescent="0.35">
      <c r="A31" s="3" t="s">
        <v>192</v>
      </c>
      <c r="B31" s="3" t="s">
        <v>12</v>
      </c>
      <c r="C31" s="3" t="s">
        <v>13</v>
      </c>
      <c r="D31" s="3" t="s">
        <v>193</v>
      </c>
      <c r="E31" s="3" t="s">
        <v>194</v>
      </c>
      <c r="F31" s="3" t="s">
        <v>16</v>
      </c>
      <c r="G31" s="3">
        <v>100</v>
      </c>
      <c r="H31" s="3"/>
      <c r="I31" s="3" t="s">
        <v>647</v>
      </c>
      <c r="J31" s="3" t="s">
        <v>648</v>
      </c>
      <c r="K31" s="3"/>
    </row>
    <row r="32" spans="1:11" x14ac:dyDescent="0.35">
      <c r="A32" s="3" t="s">
        <v>147</v>
      </c>
      <c r="B32" s="3" t="s">
        <v>12</v>
      </c>
      <c r="C32" s="3" t="s">
        <v>13</v>
      </c>
      <c r="D32" s="3" t="s">
        <v>148</v>
      </c>
      <c r="E32" s="3" t="s">
        <v>149</v>
      </c>
      <c r="F32" s="3" t="s">
        <v>16</v>
      </c>
      <c r="G32" s="3">
        <v>100</v>
      </c>
      <c r="H32" s="3"/>
      <c r="I32" s="3" t="s">
        <v>649</v>
      </c>
      <c r="J32" s="3" t="s">
        <v>650</v>
      </c>
      <c r="K32" s="3"/>
    </row>
    <row r="33" spans="1:11" x14ac:dyDescent="0.35">
      <c r="A33" s="3" t="s">
        <v>93</v>
      </c>
      <c r="B33" s="3" t="s">
        <v>12</v>
      </c>
      <c r="C33" s="3" t="s">
        <v>13</v>
      </c>
      <c r="D33" s="3" t="s">
        <v>94</v>
      </c>
      <c r="E33" s="3" t="s">
        <v>95</v>
      </c>
      <c r="F33" s="3" t="s">
        <v>16</v>
      </c>
      <c r="G33" s="3">
        <v>100</v>
      </c>
      <c r="H33" s="3"/>
      <c r="I33" s="3" t="s">
        <v>651</v>
      </c>
      <c r="J33" s="3" t="s">
        <v>652</v>
      </c>
      <c r="K33" s="3"/>
    </row>
    <row r="34" spans="1:11" x14ac:dyDescent="0.35">
      <c r="A34" s="3" t="s">
        <v>88</v>
      </c>
      <c r="B34" s="3" t="s">
        <v>12</v>
      </c>
      <c r="C34" s="3" t="s">
        <v>13</v>
      </c>
      <c r="D34" s="3" t="s">
        <v>89</v>
      </c>
      <c r="E34" s="3" t="s">
        <v>90</v>
      </c>
      <c r="F34" s="3" t="s">
        <v>16</v>
      </c>
      <c r="G34" s="3">
        <v>100</v>
      </c>
      <c r="H34" s="3"/>
      <c r="I34" s="3" t="s">
        <v>653</v>
      </c>
      <c r="J34" s="3" t="s">
        <v>654</v>
      </c>
      <c r="K34" s="3"/>
    </row>
    <row r="35" spans="1:11" x14ac:dyDescent="0.35">
      <c r="A35" s="3" t="s">
        <v>232</v>
      </c>
      <c r="B35" s="3" t="s">
        <v>12</v>
      </c>
      <c r="C35" s="3" t="s">
        <v>13</v>
      </c>
      <c r="D35" s="3" t="s">
        <v>233</v>
      </c>
      <c r="E35" s="3" t="s">
        <v>234</v>
      </c>
      <c r="F35" s="3" t="s">
        <v>16</v>
      </c>
      <c r="G35" s="3">
        <v>100</v>
      </c>
      <c r="H35" s="3"/>
      <c r="I35" s="3" t="s">
        <v>655</v>
      </c>
      <c r="J35" s="3" t="s">
        <v>656</v>
      </c>
      <c r="K35" s="3"/>
    </row>
    <row r="36" spans="1:11" x14ac:dyDescent="0.35">
      <c r="A36" s="3" t="s">
        <v>108</v>
      </c>
      <c r="B36" s="3" t="s">
        <v>12</v>
      </c>
      <c r="C36" s="3" t="s">
        <v>13</v>
      </c>
      <c r="D36" s="3" t="s">
        <v>109</v>
      </c>
      <c r="E36" s="3" t="s">
        <v>110</v>
      </c>
      <c r="F36" s="3" t="s">
        <v>16</v>
      </c>
      <c r="G36" s="3">
        <v>100</v>
      </c>
      <c r="H36" s="3"/>
      <c r="I36" s="3" t="s">
        <v>572</v>
      </c>
      <c r="J36" s="3" t="s">
        <v>657</v>
      </c>
      <c r="K36" s="3"/>
    </row>
  </sheetData>
  <autoFilter ref="A1:K3" xr:uid="{5E242A51-DCD1-4A2C-BFAE-4373CA45083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Overall</vt:lpstr>
      <vt:lpstr>Overall Lab</vt:lpstr>
      <vt:lpstr>MCQ</vt:lpstr>
      <vt:lpstr>Lab-9</vt:lpstr>
      <vt:lpstr>Lab-8</vt:lpstr>
      <vt:lpstr>Lab-7</vt:lpstr>
      <vt:lpstr>Lab-6</vt:lpstr>
      <vt:lpstr>Lab-5</vt:lpstr>
      <vt:lpstr>Lab-4</vt:lpstr>
      <vt:lpstr>Lab-3</vt:lpstr>
      <vt:lpstr>Lab-2</vt:lpstr>
      <vt:lpstr>Lab-1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yogeshwari siva</dc:creator>
  <cp:lastModifiedBy>yogeshwari siva</cp:lastModifiedBy>
  <dcterms:created xsi:type="dcterms:W3CDTF">2026-09-02T05:33:26Z</dcterms:created>
  <dcterms:modified xsi:type="dcterms:W3CDTF">2026-09-08T12:11:40Z</dcterms:modified>
</cp:coreProperties>
</file>